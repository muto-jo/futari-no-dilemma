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内容物一覧" sheetId="1" state="visible" r:id="rId3"/>
    <sheet name="家事イベント" sheetId="2" state="visible" r:id="rId4"/>
    <sheet name="約束・行動カード" sheetId="3" state="visible" r:id="rId5"/>
    <sheet name="特殊カード" sheetId="4" state="visible" r:id="rId6"/>
    <sheet name="暫定パラメータ" sheetId="5" state="visible" r:id="rId7"/>
    <sheet name="シミュレーション結果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<sst xmlns="http://schemas.openxmlformats.org/spreadsheetml/2006/main" count="307" uniqueCount="258">
  <si>
    <t xml:space="preserve">内容物</t>
  </si>
  <si>
    <t xml:space="preserve">数</t>
  </si>
  <si>
    <t xml:space="preserve">単位</t>
  </si>
  <si>
    <t xml:space="preserve">用途</t>
  </si>
  <si>
    <r>
      <rPr>
        <b val="true"/>
        <sz val="11"/>
        <color rgb="FFFFFFFF"/>
        <rFont val="Noto Sans CJK SC"/>
        <family val="2"/>
      </rPr>
      <t xml:space="preserve">製作メモ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案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</si>
  <si>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家事イベントカード</t>
  </si>
  <si>
    <t xml:space="preserve">枚</t>
  </si>
  <si>
    <r>
      <rPr>
        <sz val="11"/>
        <rFont val="Noto Sans CJK SC"/>
        <family val="2"/>
      </rPr>
      <t xml:space="preserve">毎ラウンド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枚めくる</t>
    </r>
  </si>
  <si>
    <r>
      <rPr>
        <sz val="11"/>
        <rFont val="Noto Sans CJK SC"/>
        <family val="2"/>
      </rPr>
      <t xml:space="preserve">ポーカーサイズ</t>
    </r>
    <r>
      <rPr>
        <sz val="11"/>
        <rFont val="Arial"/>
        <family val="0"/>
        <charset val="1"/>
      </rPr>
      <t xml:space="preserve">(63×88mm)</t>
    </r>
    <r>
      <rPr>
        <sz val="11"/>
        <rFont val="Noto Sans CJK SC"/>
        <family val="2"/>
      </rPr>
      <t xml:space="preserve">を想定</t>
    </r>
  </si>
  <si>
    <t xml:space="preserve">約束カード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</si>
  <si>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人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種類</t>
    </r>
  </si>
  <si>
    <t xml:space="preserve">プレイヤーごとに裏面の色を分ける</t>
  </si>
  <si>
    <t xml:space="preserve">行動カード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</si>
  <si>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人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種類</t>
    </r>
  </si>
  <si>
    <r>
      <rPr>
        <sz val="11"/>
        <rFont val="Noto Sans CJK SC"/>
        <family val="2"/>
      </rPr>
      <t xml:space="preserve">進行カード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思春期・巣立ち</t>
    </r>
    <r>
      <rPr>
        <sz val="11"/>
        <rFont val="Arial"/>
        <family val="0"/>
        <charset val="1"/>
      </rPr>
      <t xml:space="preserve">)</t>
    </r>
  </si>
  <si>
    <t xml:space="preserve">終盤の開始と終了</t>
  </si>
  <si>
    <t xml:space="preserve">家事カードと同じ裏面にする</t>
  </si>
  <si>
    <r>
      <rPr>
        <sz val="11"/>
        <rFont val="Noto Sans CJK SC"/>
        <family val="2"/>
      </rPr>
      <t xml:space="preserve">役割カード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残業・実家ヘルプ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</si>
  <si>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各自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枚、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回だけ使う</t>
    </r>
  </si>
  <si>
    <t xml:space="preserve">早見表カード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</si>
  <si>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人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枚</t>
    </r>
  </si>
  <si>
    <t xml:space="preserve">はがき大でもよい</t>
  </si>
  <si>
    <t xml:space="preserve">家庭ゲージボード</t>
  </si>
  <si>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80</t>
    </r>
    <r>
      <rPr>
        <sz val="11"/>
        <rFont val="Noto Sans CJK SC"/>
        <family val="2"/>
      </rPr>
      <t xml:space="preserve">の目盛り</t>
    </r>
  </si>
  <si>
    <r>
      <rPr>
        <sz val="11"/>
        <rFont val="Noto Sans CJK SC"/>
        <family val="2"/>
      </rPr>
      <t xml:space="preserve">マーカー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個を付ける</t>
    </r>
  </si>
  <si>
    <t xml:space="preserve">疲労トークン</t>
  </si>
  <si>
    <t xml:space="preserve">個</t>
  </si>
  <si>
    <t xml:space="preserve">手元に公開して置く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</si>
  <si>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人最大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個前後を想定</t>
    </r>
  </si>
  <si>
    <t xml:space="preserve">不満トークン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</si>
  <si>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人最大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個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予備</t>
    </r>
  </si>
  <si>
    <t xml:space="preserve">記録シート</t>
  </si>
  <si>
    <r>
      <rPr>
        <sz val="11"/>
        <rFont val="Noto Sans CJK SC"/>
        <family val="2"/>
      </rPr>
      <t xml:space="preserve">枚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ゲーム</t>
    </r>
  </si>
  <si>
    <t xml:space="preserve">自由時間・思い出・信頼を記録</t>
  </si>
  <si>
    <r>
      <rPr>
        <sz val="11"/>
        <rFont val="Arial"/>
        <family val="0"/>
        <charset val="1"/>
      </rPr>
      <t xml:space="preserve">A5</t>
    </r>
    <r>
      <rPr>
        <sz val="11"/>
        <rFont val="Noto Sans CJK SC"/>
        <family val="2"/>
      </rPr>
      <t xml:space="preserve">の正の字シートを想定</t>
    </r>
  </si>
  <si>
    <r>
      <rPr>
        <b val="true"/>
        <sz val="11"/>
        <rFont val="Noto Sans CJK SC"/>
        <family val="2"/>
      </rPr>
      <t xml:space="preserve">カード合計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早見表を除く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</si>
  <si>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カード合計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早見表を含む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</si>
  <si>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カード枚数は他のシートから自動で集計されます。青字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ボード・トークン・シートの数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Noto Sans CJK SC"/>
        <family val="2"/>
      </rPr>
      <t xml:space="preserve">は手入力の案です。サイズは製作前の仮案です。</t>
    </r>
  </si>
  <si>
    <t xml:space="preserve">No</t>
  </si>
  <si>
    <t xml:space="preserve">カード名</t>
  </si>
  <si>
    <t xml:space="preserve">重さ</t>
  </si>
  <si>
    <r>
      <rPr>
        <b val="true"/>
        <sz val="11"/>
        <color rgb="FFFFFFFF"/>
        <rFont val="Noto Sans CJK SC"/>
        <family val="2"/>
      </rPr>
      <t xml:space="preserve">フレーバーテキスト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カードの文面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</si>
  <si>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人でやったとき 各自の疲労</t>
    </r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</si>
  <si>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人でやったとき 疲労</t>
    </r>
  </si>
  <si>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人とも任せたとき 家庭ゲージ</t>
    </r>
  </si>
  <si>
    <t xml:space="preserve">E01</t>
  </si>
  <si>
    <t xml:space="preserve">ゴミ出し</t>
  </si>
  <si>
    <r>
      <rPr>
        <sz val="11"/>
        <rFont val="Noto Sans CJK SC"/>
        <family val="2"/>
      </rPr>
      <t xml:space="preserve">朝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時までに出さないと、また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週間。</t>
    </r>
  </si>
  <si>
    <t xml:space="preserve">E02</t>
  </si>
  <si>
    <t xml:space="preserve">食器洗い</t>
  </si>
  <si>
    <t xml:space="preserve">シンクに溜まる前に。</t>
  </si>
  <si>
    <t xml:space="preserve">E03</t>
  </si>
  <si>
    <t xml:space="preserve">洗濯物たたみ</t>
  </si>
  <si>
    <t xml:space="preserve">ソファの上の山が、今日も高い。</t>
  </si>
  <si>
    <t xml:space="preserve">E04</t>
  </si>
  <si>
    <t xml:space="preserve">お風呂掃除</t>
  </si>
  <si>
    <r>
      <rPr>
        <sz val="11"/>
        <rFont val="Noto Sans CJK SC"/>
        <family val="2"/>
      </rPr>
      <t xml:space="preserve">湯船を洗うだけで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分。</t>
    </r>
  </si>
  <si>
    <t xml:space="preserve">E05</t>
  </si>
  <si>
    <t xml:space="preserve">連絡帳を書く</t>
  </si>
  <si>
    <t xml:space="preserve">体温と、朝ごはんと、機嫌。</t>
  </si>
  <si>
    <t xml:space="preserve">E06</t>
  </si>
  <si>
    <t xml:space="preserve">保育園の持ち物準備</t>
  </si>
  <si>
    <r>
      <rPr>
        <sz val="11"/>
        <rFont val="Noto Sans CJK SC"/>
        <family val="2"/>
      </rPr>
      <t xml:space="preserve">明日はタオルを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枚。</t>
    </r>
  </si>
  <si>
    <t xml:space="preserve">E07</t>
  </si>
  <si>
    <t xml:space="preserve">朝の着替え</t>
  </si>
  <si>
    <t xml:space="preserve">靴下は自分で履く、と言い張る朝。</t>
  </si>
  <si>
    <t xml:space="preserve">E08</t>
  </si>
  <si>
    <t xml:space="preserve">おもちゃの片付け</t>
  </si>
  <si>
    <t xml:space="preserve">踏むと痛いブロック。</t>
  </si>
  <si>
    <t xml:space="preserve">E09</t>
  </si>
  <si>
    <t xml:space="preserve">仕上げみがき</t>
  </si>
  <si>
    <t xml:space="preserve">口を開けてくれない夜。</t>
  </si>
  <si>
    <t xml:space="preserve">E10</t>
  </si>
  <si>
    <t xml:space="preserve">買い物リスト作り</t>
  </si>
  <si>
    <t xml:space="preserve">牛乳、卵、オムツ、あと何だっけ。</t>
  </si>
  <si>
    <t xml:space="preserve">E11</t>
  </si>
  <si>
    <t xml:space="preserve">夕飯づくり</t>
  </si>
  <si>
    <t xml:space="preserve">好き嫌いと栄養のあいだで。</t>
  </si>
  <si>
    <t xml:space="preserve">E12</t>
  </si>
  <si>
    <t xml:space="preserve">寝かしつけ</t>
  </si>
  <si>
    <r>
      <rPr>
        <sz val="11"/>
        <rFont val="Noto Sans CJK SC"/>
        <family val="2"/>
      </rPr>
      <t xml:space="preserve">「あと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冊」が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回続く。</t>
    </r>
  </si>
  <si>
    <t xml:space="preserve">E13</t>
  </si>
  <si>
    <t xml:space="preserve">保育園のお迎え</t>
  </si>
  <si>
    <r>
      <rPr>
        <sz val="11"/>
        <rFont val="Arial"/>
        <family val="0"/>
        <charset val="1"/>
      </rPr>
      <t xml:space="preserve">18</t>
    </r>
    <r>
      <rPr>
        <sz val="11"/>
        <rFont val="Noto Sans CJK SC"/>
        <family val="2"/>
      </rPr>
      <t xml:space="preserve">時の延長に間に合うか。</t>
    </r>
  </si>
  <si>
    <t xml:space="preserve">E14</t>
  </si>
  <si>
    <t xml:space="preserve">週末の買い出し</t>
  </si>
  <si>
    <t xml:space="preserve">カートに乗りたがる子と一緒に。</t>
  </si>
  <si>
    <t xml:space="preserve">E15</t>
  </si>
  <si>
    <t xml:space="preserve">夜泣き対応</t>
  </si>
  <si>
    <r>
      <rPr>
        <sz val="11"/>
        <rFont val="Noto Sans CJK SC"/>
        <family val="2"/>
      </rPr>
      <t xml:space="preserve">午前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時、抱っこで廊下を往復。</t>
    </r>
  </si>
  <si>
    <t xml:space="preserve">E16</t>
  </si>
  <si>
    <t xml:space="preserve">予防接種の付き添い</t>
  </si>
  <si>
    <t xml:space="preserve">泣く子を押さえる係。</t>
  </si>
  <si>
    <t xml:space="preserve">E17</t>
  </si>
  <si>
    <t xml:space="preserve">公園の付き添い</t>
  </si>
  <si>
    <r>
      <rPr>
        <sz val="11"/>
        <rFont val="Noto Sans CJK SC"/>
        <family val="2"/>
      </rPr>
      <t xml:space="preserve">すべり台、あと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回。</t>
    </r>
  </si>
  <si>
    <t xml:space="preserve">E18</t>
  </si>
  <si>
    <t xml:space="preserve">洗濯フルコース</t>
  </si>
  <si>
    <t xml:space="preserve">回して、干して、取り込む。</t>
  </si>
  <si>
    <t xml:space="preserve">E19</t>
  </si>
  <si>
    <t xml:space="preserve">部屋の片付けと掃除機</t>
  </si>
  <si>
    <t xml:space="preserve">来客の前日に限って散らかる。</t>
  </si>
  <si>
    <t xml:space="preserve">E20</t>
  </si>
  <si>
    <t xml:space="preserve">お弁当づくり</t>
  </si>
  <si>
    <t xml:space="preserve">遠足の日は早起き。</t>
  </si>
  <si>
    <t xml:space="preserve">E21</t>
  </si>
  <si>
    <t xml:space="preserve">発熱でお迎え要請</t>
  </si>
  <si>
    <t xml:space="preserve">会議中に保育園から電話。</t>
  </si>
  <si>
    <t xml:space="preserve">E22</t>
  </si>
  <si>
    <t xml:space="preserve">子どもの嘔吐</t>
  </si>
  <si>
    <t xml:space="preserve">夜中にシーツを全部交換。</t>
  </si>
  <si>
    <t xml:space="preserve">E23</t>
  </si>
  <si>
    <t xml:space="preserve">家族全員の風邪</t>
  </si>
  <si>
    <t xml:space="preserve">看病する人がいない。</t>
  </si>
  <si>
    <t xml:space="preserve">E24</t>
  </si>
  <si>
    <t xml:space="preserve">入園準備の名前付け</t>
  </si>
  <si>
    <r>
      <rPr>
        <sz val="11"/>
        <rFont val="Noto Sans CJK SC"/>
        <family val="2"/>
      </rPr>
      <t xml:space="preserve">靴下の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足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足にまで。</t>
    </r>
  </si>
  <si>
    <t xml:space="preserve">E25</t>
  </si>
  <si>
    <t xml:space="preserve">運動会・発表会の準備</t>
  </si>
  <si>
    <t xml:space="preserve">「衣装は手作りでお願いします」</t>
  </si>
  <si>
    <t xml:space="preserve">E26</t>
  </si>
  <si>
    <t xml:space="preserve">休日ワンオペ</t>
  </si>
  <si>
    <t xml:space="preserve">相手は朝から出張。</t>
  </si>
  <si>
    <t xml:space="preserve">E27</t>
  </si>
  <si>
    <t xml:space="preserve">親戚の来訪</t>
  </si>
  <si>
    <t xml:space="preserve">家中を片付けて、料理も。</t>
  </si>
  <si>
    <t xml:space="preserve">E28</t>
  </si>
  <si>
    <r>
      <rPr>
        <sz val="11"/>
        <rFont val="Noto Sans CJK SC"/>
        <family val="2"/>
      </rPr>
      <t xml:space="preserve">夜泣き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夜連続</t>
    </r>
  </si>
  <si>
    <t xml:space="preserve">もう朝か、まだ夜か。</t>
  </si>
  <si>
    <t xml:space="preserve">E29</t>
  </si>
  <si>
    <t xml:space="preserve">予定外の休園</t>
  </si>
  <si>
    <r>
      <rPr>
        <sz val="11"/>
        <rFont val="Noto Sans CJK SC"/>
        <family val="2"/>
      </rPr>
      <t xml:space="preserve">明日の仕事はどうする</t>
    </r>
    <r>
      <rPr>
        <sz val="11"/>
        <rFont val="Arial"/>
        <family val="0"/>
        <charset val="1"/>
      </rPr>
      <t xml:space="preserve">?</t>
    </r>
  </si>
  <si>
    <t xml:space="preserve">E30</t>
  </si>
  <si>
    <t xml:space="preserve">大掃除</t>
  </si>
  <si>
    <t xml:space="preserve">年末の換気扇。</t>
  </si>
  <si>
    <t xml:space="preserve">集計</t>
  </si>
  <si>
    <r>
      <rPr>
        <sz val="11"/>
        <rFont val="Noto Sans CJK SC"/>
        <family val="2"/>
      </rPr>
      <t xml:space="preserve">重さ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の枚数</t>
    </r>
  </si>
  <si>
    <r>
      <rPr>
        <sz val="11"/>
        <rFont val="Noto Sans CJK SC"/>
        <family val="2"/>
      </rPr>
      <t xml:space="preserve">重さ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の枚数</t>
    </r>
  </si>
  <si>
    <r>
      <rPr>
        <sz val="11"/>
        <rFont val="Noto Sans CJK SC"/>
        <family val="2"/>
      </rPr>
      <t xml:space="preserve">重さ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の枚数</t>
    </r>
  </si>
  <si>
    <t xml:space="preserve">合計</t>
  </si>
  <si>
    <t xml:space="preserve">平均の重さ</t>
  </si>
  <si>
    <r>
      <rPr>
        <i val="true"/>
        <sz val="11"/>
        <color rgb="FF595959"/>
        <rFont val="Noto Sans CJK SC"/>
        <family val="2"/>
      </rPr>
      <t xml:space="preserve">青字の「重さ」は調整できる入力値です。</t>
    </r>
    <r>
      <rPr>
        <i val="true"/>
        <sz val="11"/>
        <color rgb="FF595959"/>
        <rFont val="Arial"/>
        <family val="0"/>
        <charset val="1"/>
      </rPr>
      <t xml:space="preserve">E</t>
    </r>
    <r>
      <rPr>
        <i val="true"/>
        <sz val="11"/>
        <color rgb="FF595959"/>
        <rFont val="Noto Sans CJK SC"/>
        <family val="2"/>
      </rPr>
      <t xml:space="preserve">〜</t>
    </r>
    <r>
      <rPr>
        <i val="true"/>
        <sz val="11"/>
        <color rgb="FF595959"/>
        <rFont val="Arial"/>
        <family val="0"/>
        <charset val="1"/>
      </rPr>
      <t xml:space="preserve">G</t>
    </r>
    <r>
      <rPr>
        <i val="true"/>
        <sz val="11"/>
        <color rgb="FF595959"/>
        <rFont val="Noto Sans CJK SC"/>
        <family val="2"/>
      </rPr>
      <t xml:space="preserve">列は重さから自動計算されます。カード名と文面は案で、自由に書き換えてください。</t>
    </r>
  </si>
  <si>
    <t xml:space="preserve">種類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</si>
  <si>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人あたりの枚数</t>
    </r>
  </si>
  <si>
    <t xml:space="preserve">人数</t>
  </si>
  <si>
    <t xml:space="preserve">合計枚数</t>
  </si>
  <si>
    <t xml:space="preserve">カードの文面</t>
  </si>
  <si>
    <t xml:space="preserve">出したときの意味</t>
  </si>
  <si>
    <t xml:space="preserve">一緒にやる</t>
  </si>
  <si>
    <t xml:space="preserve">「一緒にやろう」</t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</si>
  <si>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人とも「一緒にやる」でやれば信頼</t>
    </r>
    <r>
      <rPr>
        <sz val="11"/>
        <rFont val="Arial"/>
        <family val="0"/>
        <charset val="1"/>
      </rPr>
      <t xml:space="preserve">+1</t>
    </r>
    <r>
      <rPr>
        <sz val="11"/>
        <rFont val="Noto Sans CJK SC"/>
        <family val="2"/>
      </rPr>
      <t xml:space="preserve">。出したのに任せたら約束破り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相手の不満</t>
    </r>
    <r>
      <rPr>
        <sz val="11"/>
        <rFont val="Arial"/>
        <family val="0"/>
        <charset val="1"/>
      </rPr>
      <t xml:space="preserve">+2)</t>
    </r>
  </si>
  <si>
    <t xml:space="preserve">私がやる</t>
  </si>
  <si>
    <t xml:space="preserve">「いいよー、私がやる」</t>
  </si>
  <si>
    <t xml:space="preserve">相手の「あなたに頼む」と揃えば、お願い成立。出したのに任せたら約束破り</t>
  </si>
  <si>
    <t xml:space="preserve">あなたに頼む</t>
  </si>
  <si>
    <r>
      <rPr>
        <sz val="11"/>
        <rFont val="Noto Sans CJK SC"/>
        <family val="2"/>
      </rPr>
      <t xml:space="preserve">「ごめん、お願いしていい</t>
    </r>
    <r>
      <rPr>
        <sz val="11"/>
        <rFont val="Arial"/>
        <family val="0"/>
        <charset val="1"/>
      </rPr>
      <t xml:space="preserve">?</t>
    </r>
    <r>
      <rPr>
        <sz val="11"/>
        <rFont val="Noto Sans CJK SC"/>
        <family val="2"/>
      </rPr>
      <t xml:space="preserve">」</t>
    </r>
  </si>
  <si>
    <r>
      <rPr>
        <sz val="11"/>
        <rFont val="Noto Sans CJK SC"/>
        <family val="2"/>
      </rPr>
      <t xml:space="preserve">相手の「私がやる」と揃えば、お願い成立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信頼</t>
    </r>
    <r>
      <rPr>
        <sz val="11"/>
        <rFont val="Arial"/>
        <family val="0"/>
        <charset val="1"/>
      </rPr>
      <t xml:space="preserve">+2</t>
    </r>
    <r>
      <rPr>
        <sz val="11"/>
        <rFont val="Noto Sans CJK SC"/>
        <family val="2"/>
      </rPr>
      <t xml:space="preserve">、追加で疲労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個回復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。ダウン中はこれを出す</t>
    </r>
  </si>
  <si>
    <t xml:space="preserve">やる</t>
  </si>
  <si>
    <t xml:space="preserve">この家事を担当する</t>
  </si>
  <si>
    <t xml:space="preserve">任せる</t>
  </si>
  <si>
    <t xml:space="preserve">この家事を相手に任せる</t>
  </si>
  <si>
    <t xml:space="preserve">枚数</t>
  </si>
  <si>
    <t xml:space="preserve">いつ使うか</t>
  </si>
  <si>
    <t xml:space="preserve">進行カード</t>
  </si>
  <si>
    <t xml:space="preserve">思春期</t>
  </si>
  <si>
    <r>
      <rPr>
        <sz val="11"/>
        <rFont val="Noto Sans CJK SC"/>
        <family val="2"/>
      </rPr>
      <t xml:space="preserve">山札の</t>
    </r>
    <r>
      <rPr>
        <sz val="11"/>
        <rFont val="Arial"/>
        <family val="0"/>
        <charset val="1"/>
      </rPr>
      <t xml:space="preserve">21</t>
    </r>
    <r>
      <rPr>
        <sz val="11"/>
        <rFont val="Noto Sans CJK SC"/>
        <family val="2"/>
      </rPr>
      <t xml:space="preserve">枚目。公開したら脇に置き、もう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枚めくる</t>
    </r>
  </si>
  <si>
    <r>
      <rPr>
        <sz val="11"/>
        <rFont val="Noto Sans CJK SC"/>
        <family val="2"/>
      </rPr>
      <t xml:space="preserve">子どもが思春期に入った。ここから終盤。不満が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個になったら、爆発ではなく離婚になる。</t>
    </r>
  </si>
  <si>
    <t xml:space="preserve">巣立ち</t>
  </si>
  <si>
    <r>
      <rPr>
        <sz val="11"/>
        <rFont val="Noto Sans CJK SC"/>
        <family val="2"/>
      </rPr>
      <t xml:space="preserve">山札の</t>
    </r>
    <r>
      <rPr>
        <sz val="11"/>
        <rFont val="Arial"/>
        <family val="0"/>
        <charset val="1"/>
      </rPr>
      <t xml:space="preserve">22</t>
    </r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32</t>
    </r>
    <r>
      <rPr>
        <sz val="11"/>
        <rFont val="Noto Sans CJK SC"/>
        <family val="2"/>
      </rPr>
      <t xml:space="preserve">枚目のどこか。公開したらゲーム終了</t>
    </r>
  </si>
  <si>
    <r>
      <rPr>
        <sz val="11"/>
        <rFont val="Noto Sans CJK SC"/>
        <family val="2"/>
      </rPr>
      <t xml:space="preserve">子どもが巣立った。ゲーム終了。家庭ゲージが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以上なら家族成功。</t>
    </r>
  </si>
  <si>
    <t xml:space="preserve">役割カード</t>
  </si>
  <si>
    <t xml:space="preserve">残業</t>
  </si>
  <si>
    <r>
      <rPr>
        <sz val="11"/>
        <rFont val="Noto Sans CJK SC"/>
        <family val="2"/>
      </rPr>
      <t xml:space="preserve">ゲーム中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回。「任せる」を出したときに宣言</t>
    </r>
  </si>
  <si>
    <t xml:space="preserve">今日は残業。任せても不満は付かないが、自由時間ももらえない。</t>
  </si>
  <si>
    <t xml:space="preserve">実家ヘルプ</t>
  </si>
  <si>
    <r>
      <rPr>
        <sz val="11"/>
        <rFont val="Noto Sans CJK SC"/>
        <family val="2"/>
      </rPr>
      <t xml:space="preserve">ゲーム中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回。家事カードを公開したときに宣言</t>
    </r>
  </si>
  <si>
    <r>
      <rPr>
        <sz val="11"/>
        <rFont val="Noto Sans CJK SC"/>
        <family val="2"/>
      </rPr>
      <t xml:space="preserve">実家が手伝いに来てくれた。この家事の重さを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下げる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最低</t>
    </r>
    <r>
      <rPr>
        <sz val="11"/>
        <rFont val="Arial"/>
        <family val="0"/>
        <charset val="1"/>
      </rPr>
      <t xml:space="preserve">1)</t>
    </r>
    <r>
      <rPr>
        <sz val="11"/>
        <rFont val="Noto Sans CJK SC"/>
        <family val="2"/>
      </rPr>
      <t xml:space="preserve">。</t>
    </r>
  </si>
  <si>
    <t xml:space="preserve">補助カード</t>
  </si>
  <si>
    <t xml:space="preserve">早見表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</si>
  <si>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人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枚。手元に置く</t>
    </r>
  </si>
  <si>
    <r>
      <rPr>
        <sz val="11"/>
        <rFont val="Noto Sans CJK SC"/>
        <family val="2"/>
      </rPr>
      <t xml:space="preserve">ラウンドの流れと処理の早見表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ルールブックの表を印刷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</si>
  <si>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役割カードは裏向きで混ぜて</t>
    </r>
    <r>
      <rPr>
        <i val="true"/>
        <sz val="11"/>
        <color rgb="FF595959"/>
        <rFont val="Arial"/>
        <family val="0"/>
        <charset val="1"/>
      </rPr>
      <t xml:space="preserve">1</t>
    </r>
    <r>
      <rPr>
        <i val="true"/>
        <sz val="11"/>
        <color rgb="FF595959"/>
        <rFont val="Noto Sans CJK SC"/>
        <family val="2"/>
      </rPr>
      <t xml:space="preserve">枚ずつ配ります。夫役・妻役のどちらが持ってもかまいません。</t>
    </r>
  </si>
  <si>
    <t xml:space="preserve">項目</t>
  </si>
  <si>
    <t xml:space="preserve">今の値</t>
  </si>
  <si>
    <t xml:space="preserve">シミュレーションでの扱い</t>
  </si>
  <si>
    <t xml:space="preserve">変えるとどうなるか</t>
  </si>
  <si>
    <t xml:space="preserve">家庭ゲージの初期値</t>
  </si>
  <si>
    <t xml:space="preserve">共通</t>
  </si>
  <si>
    <t xml:space="preserve">下げると序盤から協力しないと崩れる</t>
  </si>
  <si>
    <r>
      <rPr>
        <sz val="11"/>
        <rFont val="Noto Sans CJK SC"/>
        <family val="2"/>
      </rPr>
      <t xml:space="preserve">家族成功の条件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家庭ゲージ</t>
    </r>
    <r>
      <rPr>
        <sz val="11"/>
        <rFont val="Arial"/>
        <family val="0"/>
        <charset val="1"/>
      </rPr>
      <t xml:space="preserve">)</t>
    </r>
  </si>
  <si>
    <t xml:space="preserve">以上</t>
  </si>
  <si>
    <t xml:space="preserve">巣立ち時点で判定</t>
  </si>
  <si>
    <t xml:space="preserve">家族成功ボーナス</t>
  </si>
  <si>
    <r>
      <rPr>
        <sz val="11"/>
        <rFont val="Noto Sans CJK SC"/>
        <family val="2"/>
      </rPr>
      <t xml:space="preserve">点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人</t>
    </r>
  </si>
  <si>
    <t xml:space="preserve">ダウンの疲労</t>
  </si>
  <si>
    <t xml:space="preserve">個以上</t>
  </si>
  <si>
    <t xml:space="preserve">下げるとお願いが増え、上げると黙って協力が通用する</t>
  </si>
  <si>
    <t xml:space="preserve">睡眠での回復</t>
  </si>
  <si>
    <r>
      <rPr>
        <sz val="11"/>
        <rFont val="Noto Sans CJK SC"/>
        <family val="2"/>
      </rPr>
      <t xml:space="preserve">個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ラウンド</t>
    </r>
  </si>
  <si>
    <t xml:space="preserve">全員</t>
  </si>
  <si>
    <t xml:space="preserve">お願い成立での追加回復</t>
  </si>
  <si>
    <t xml:space="preserve">休んだ側</t>
  </si>
  <si>
    <t xml:space="preserve">一緒にやるの信頼</t>
  </si>
  <si>
    <r>
      <rPr>
        <sz val="11"/>
        <rFont val="Arial"/>
        <family val="0"/>
        <charset val="1"/>
      </rPr>
      <t xml:space="preserve">0</t>
    </r>
    <r>
      <rPr>
        <sz val="11"/>
        <rFont val="Noto Sans CJK SC"/>
        <family val="2"/>
      </rPr>
      <t xml:space="preserve">にすると相談する夫婦としない夫婦の差がほぼ消える</t>
    </r>
  </si>
  <si>
    <t xml:space="preserve">お願い成立の信頼</t>
  </si>
  <si>
    <r>
      <rPr>
        <sz val="11"/>
        <rFont val="Noto Sans CJK SC"/>
        <family val="2"/>
      </rPr>
      <t xml:space="preserve">大きくすると</t>
    </r>
    <r>
      <rPr>
        <sz val="11"/>
        <rFont val="Arial"/>
        <family val="0"/>
        <charset val="1"/>
      </rPr>
      <t xml:space="preserve">50:50</t>
    </r>
    <r>
      <rPr>
        <sz val="11"/>
        <rFont val="Noto Sans CJK SC"/>
        <family val="2"/>
      </rPr>
      <t xml:space="preserve">交代が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位になる</t>
    </r>
  </si>
  <si>
    <t xml:space="preserve">爆発・離婚の不満</t>
  </si>
  <si>
    <t xml:space="preserve">約束破りの不満</t>
  </si>
  <si>
    <t xml:space="preserve">相手に付く</t>
  </si>
  <si>
    <t xml:space="preserve">離婚させた側の得点</t>
  </si>
  <si>
    <t xml:space="preserve">点</t>
  </si>
  <si>
    <t xml:space="preserve">終盤の開始</t>
  </si>
  <si>
    <t xml:space="preserve">ラウンド目</t>
  </si>
  <si>
    <t xml:space="preserve">思春期カードの位置</t>
  </si>
  <si>
    <t xml:space="preserve">ゲームの長さ</t>
  </si>
  <si>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ラウンド</t>
    </r>
  </si>
  <si>
    <t xml:space="preserve">巣立ちカードの位置で決まる</t>
  </si>
  <si>
    <r>
      <rPr>
        <i val="true"/>
        <sz val="11"/>
        <color rgb="FF595959"/>
        <rFont val="Noto Sans CJK SC"/>
        <family val="2"/>
      </rPr>
      <t xml:space="preserve">値はシミュレーション</t>
    </r>
    <r>
      <rPr>
        <i val="true"/>
        <sz val="11"/>
        <color rgb="FF595959"/>
        <rFont val="Arial"/>
        <family val="0"/>
        <charset val="1"/>
      </rPr>
      <t xml:space="preserve">(dilemma_c.py</t>
    </r>
    <r>
      <rPr>
        <i val="true"/>
        <sz val="11"/>
        <color rgb="FF595959"/>
        <rFont val="Noto Sans CJK SC"/>
        <family val="2"/>
      </rPr>
      <t xml:space="preserve">、信頼の加点 </t>
    </r>
    <r>
      <rPr>
        <i val="true"/>
        <sz val="11"/>
        <color rgb="FF595959"/>
        <rFont val="Arial"/>
        <family val="0"/>
        <charset val="1"/>
      </rPr>
      <t xml:space="preserve">1/2)</t>
    </r>
    <r>
      <rPr>
        <i val="true"/>
        <sz val="11"/>
        <color rgb="FF595959"/>
        <rFont val="Noto Sans CJK SC"/>
        <family val="2"/>
      </rPr>
      <t xml:space="preserve">で採用したもので、テストプレイで調整する前提です。</t>
    </r>
  </si>
  <si>
    <t xml:space="preserve">順位</t>
  </si>
  <si>
    <t xml:space="preserve">戦略</t>
  </si>
  <si>
    <t xml:space="preserve">相談・約束</t>
  </si>
  <si>
    <t xml:space="preserve">平均点</t>
  </si>
  <si>
    <t xml:space="preserve">家族成功</t>
  </si>
  <si>
    <t xml:space="preserve">共倒れ</t>
  </si>
  <si>
    <t xml:space="preserve">離婚させた</t>
  </si>
  <si>
    <t xml:space="preserve">離婚された</t>
  </si>
  <si>
    <r>
      <rPr>
        <b val="true"/>
        <sz val="11"/>
        <color rgb="FFFFFFFF"/>
        <rFont val="Noto Sans CJK SC"/>
        <family val="2"/>
      </rPr>
      <t xml:space="preserve">同じ戦略同士</t>
    </r>
    <r>
      <rPr>
        <b val="true"/>
        <sz val="11"/>
        <color rgb="FFFFFFFF"/>
        <rFont val="Arial"/>
        <family val="0"/>
        <charset val="1"/>
      </rPr>
      <t xml:space="preserve">:</t>
    </r>
    <r>
      <rPr>
        <b val="true"/>
        <sz val="11"/>
        <color rgb="FFFFFFFF"/>
        <rFont val="Noto Sans CJK SC"/>
        <family val="2"/>
      </rPr>
      <t xml:space="preserve">家族成功</t>
    </r>
  </si>
  <si>
    <r>
      <rPr>
        <b val="true"/>
        <sz val="11"/>
        <color rgb="FFFFFFFF"/>
        <rFont val="Noto Sans CJK SC"/>
        <family val="2"/>
      </rPr>
      <t xml:space="preserve">同じ戦略同士</t>
    </r>
    <r>
      <rPr>
        <b val="true"/>
        <sz val="11"/>
        <color rgb="FFFFFFFF"/>
        <rFont val="Arial"/>
        <family val="0"/>
        <charset val="1"/>
      </rPr>
      <t xml:space="preserve">:</t>
    </r>
    <r>
      <rPr>
        <b val="true"/>
        <sz val="11"/>
        <color rgb="FFFFFFFF"/>
        <rFont val="Noto Sans CJK SC"/>
        <family val="2"/>
      </rPr>
      <t xml:space="preserve">離婚</t>
    </r>
  </si>
  <si>
    <r>
      <rPr>
        <b val="true"/>
        <sz val="11"/>
        <color rgb="FFFFFFFF"/>
        <rFont val="Noto Sans CJK SC"/>
        <family val="2"/>
      </rPr>
      <t xml:space="preserve">同じ戦略同士</t>
    </r>
    <r>
      <rPr>
        <b val="true"/>
        <sz val="11"/>
        <color rgb="FFFFFFFF"/>
        <rFont val="Arial"/>
        <family val="0"/>
        <charset val="1"/>
      </rPr>
      <t xml:space="preserve">:</t>
    </r>
    <r>
      <rPr>
        <b val="true"/>
        <sz val="11"/>
        <color rgb="FFFFFFFF"/>
        <rFont val="Noto Sans CJK SC"/>
        <family val="2"/>
      </rPr>
      <t xml:space="preserve">夫の点</t>
    </r>
  </si>
  <si>
    <r>
      <rPr>
        <b val="true"/>
        <sz val="11"/>
        <color rgb="FFFFFFFF"/>
        <rFont val="Noto Sans CJK SC"/>
        <family val="2"/>
      </rPr>
      <t xml:space="preserve">同じ戦略同士</t>
    </r>
    <r>
      <rPr>
        <b val="true"/>
        <sz val="11"/>
        <color rgb="FFFFFFFF"/>
        <rFont val="Arial"/>
        <family val="0"/>
        <charset val="1"/>
      </rPr>
      <t xml:space="preserve">:</t>
    </r>
    <r>
      <rPr>
        <b val="true"/>
        <sz val="11"/>
        <color rgb="FFFFFFFF"/>
        <rFont val="Noto Sans CJK SC"/>
        <family val="2"/>
      </rPr>
      <t xml:space="preserve">妻の点</t>
    </r>
  </si>
  <si>
    <r>
      <rPr>
        <b val="true"/>
        <sz val="11"/>
        <color rgb="FFFFFFFF"/>
        <rFont val="Noto Sans CJK SC"/>
        <family val="2"/>
      </rPr>
      <t xml:space="preserve">同じ戦略同士</t>
    </r>
    <r>
      <rPr>
        <b val="true"/>
        <sz val="11"/>
        <color rgb="FFFFFFFF"/>
        <rFont val="Arial"/>
        <family val="0"/>
        <charset val="1"/>
      </rPr>
      <t xml:space="preserve">:2</t>
    </r>
    <r>
      <rPr>
        <b val="true"/>
        <sz val="11"/>
        <color rgb="FFFFFFFF"/>
        <rFont val="Noto Sans CJK SC"/>
        <family val="2"/>
      </rPr>
      <t xml:space="preserve">人の合計</t>
    </r>
  </si>
  <si>
    <r>
      <rPr>
        <b val="true"/>
        <sz val="11"/>
        <color rgb="FFFFFFFF"/>
        <rFont val="Noto Sans CJK SC"/>
        <family val="2"/>
      </rPr>
      <t xml:space="preserve">お願い成立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戦</t>
    </r>
  </si>
  <si>
    <r>
      <rPr>
        <b val="true"/>
        <sz val="11"/>
        <color rgb="FFFFFFFF"/>
        <rFont val="Noto Sans CJK SC"/>
        <family val="2"/>
      </rPr>
      <t xml:space="preserve">ダウン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戦</t>
    </r>
  </si>
  <si>
    <r>
      <rPr>
        <b val="true"/>
        <sz val="11"/>
        <color rgb="FFFFFFFF"/>
        <rFont val="Noto Sans CJK SC"/>
        <family val="2"/>
      </rPr>
      <t xml:space="preserve">約束破り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戦</t>
    </r>
  </si>
  <si>
    <t xml:space="preserve">思いやり</t>
  </si>
  <si>
    <t xml:space="preserve">あり</t>
  </si>
  <si>
    <r>
      <rPr>
        <sz val="11"/>
        <rFont val="Noto Sans CJK SC"/>
        <family val="2"/>
      </rPr>
      <t xml:space="preserve">思いやり</t>
    </r>
    <r>
      <rPr>
        <sz val="11"/>
        <rFont val="Arial"/>
        <family val="0"/>
        <charset val="1"/>
      </rPr>
      <t xml:space="preserve">TFT</t>
    </r>
  </si>
  <si>
    <t xml:space="preserve">約束交代</t>
  </si>
  <si>
    <t xml:space="preserve">頑張りすぎ</t>
  </si>
  <si>
    <t xml:space="preserve">甘え上手</t>
  </si>
  <si>
    <t xml:space="preserve">常に協力</t>
  </si>
  <si>
    <t xml:space="preserve">なし</t>
  </si>
  <si>
    <r>
      <rPr>
        <sz val="11"/>
        <rFont val="Noto Sans CJK SC"/>
        <family val="2"/>
      </rPr>
      <t xml:space="preserve">寛容</t>
    </r>
    <r>
      <rPr>
        <sz val="11"/>
        <rFont val="Arial"/>
        <family val="0"/>
        <charset val="1"/>
      </rPr>
      <t xml:space="preserve">TFT</t>
    </r>
  </si>
  <si>
    <t xml:space="preserve">しっぺ返し</t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</si>
  <si>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回で</t>
    </r>
    <r>
      <rPr>
        <sz val="11"/>
        <rFont val="Arial"/>
        <family val="0"/>
        <charset val="1"/>
      </rPr>
      <t xml:space="preserve">TFT</t>
    </r>
  </si>
  <si>
    <t xml:space="preserve">パブロフ</t>
  </si>
  <si>
    <t xml:space="preserve">グラッジャー</t>
  </si>
  <si>
    <t xml:space="preserve">終盤裏切り</t>
  </si>
  <si>
    <t xml:space="preserve">不満管理</t>
  </si>
  <si>
    <t xml:space="preserve">ふざけパパ</t>
  </si>
  <si>
    <r>
      <rPr>
        <sz val="11"/>
        <rFont val="Noto Sans CJK SC"/>
        <family val="2"/>
      </rPr>
      <t xml:space="preserve">交代制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約束なし</t>
    </r>
    <r>
      <rPr>
        <sz val="11"/>
        <rFont val="Arial"/>
        <family val="0"/>
        <charset val="1"/>
      </rPr>
      <t xml:space="preserve">)</t>
    </r>
  </si>
  <si>
    <t xml:space="preserve">ランダム</t>
  </si>
  <si>
    <t xml:space="preserve">探り屋</t>
  </si>
  <si>
    <t xml:space="preserve">崖っぷち</t>
  </si>
  <si>
    <t xml:space="preserve">重さ選び</t>
  </si>
  <si>
    <t xml:space="preserve">常に裏切り</t>
  </si>
  <si>
    <t xml:space="preserve">口だけ</t>
  </si>
  <si>
    <r>
      <rPr>
        <i val="true"/>
        <sz val="11"/>
        <color rgb="FF595959"/>
        <rFont val="Noto Sans CJK SC"/>
        <family val="2"/>
      </rPr>
      <t xml:space="preserve">出典</t>
    </r>
    <r>
      <rPr>
        <i val="true"/>
        <sz val="11"/>
        <color rgb="FF595959"/>
        <rFont val="Arial"/>
        <family val="0"/>
        <charset val="1"/>
      </rPr>
      <t xml:space="preserve">: dilemma_c.py(</t>
    </r>
    <r>
      <rPr>
        <i val="true"/>
        <sz val="11"/>
        <color rgb="FF595959"/>
        <rFont val="Noto Sans CJK SC"/>
        <family val="2"/>
      </rPr>
      <t xml:space="preserve">信頼の加点 一緒にやる</t>
    </r>
    <r>
      <rPr>
        <i val="true"/>
        <sz val="11"/>
        <color rgb="FF595959"/>
        <rFont val="Arial"/>
        <family val="0"/>
        <charset val="1"/>
      </rPr>
      <t xml:space="preserve">+1</t>
    </r>
    <r>
      <rPr>
        <i val="true"/>
        <sz val="11"/>
        <color rgb="FF595959"/>
        <rFont val="Noto Sans CJK SC"/>
        <family val="2"/>
      </rPr>
      <t xml:space="preserve">・お願い成立</t>
    </r>
    <r>
      <rPr>
        <i val="true"/>
        <sz val="11"/>
        <color rgb="FF595959"/>
        <rFont val="Arial"/>
        <family val="0"/>
        <charset val="1"/>
      </rPr>
      <t xml:space="preserve">+2</t>
    </r>
    <r>
      <rPr>
        <i val="true"/>
        <sz val="11"/>
        <color rgb="FF595959"/>
        <rFont val="Noto Sans CJK SC"/>
        <family val="2"/>
      </rPr>
      <t xml:space="preserve">、</t>
    </r>
    <r>
      <rPr>
        <i val="true"/>
        <sz val="11"/>
        <color rgb="FF595959"/>
        <rFont val="Arial"/>
        <family val="0"/>
        <charset val="1"/>
      </rPr>
      <t xml:space="preserve">seed 2026)</t>
    </r>
    <r>
      <rPr>
        <i val="true"/>
        <sz val="11"/>
        <color rgb="FF595959"/>
        <rFont val="Noto Sans CJK SC"/>
        <family val="2"/>
      </rPr>
      <t xml:space="preserve">。</t>
    </r>
    <r>
      <rPr>
        <i val="true"/>
        <sz val="11"/>
        <color rgb="FF595959"/>
        <rFont val="Arial"/>
        <family val="0"/>
        <charset val="1"/>
      </rPr>
      <t xml:space="preserve">21</t>
    </r>
    <r>
      <rPr>
        <i val="true"/>
        <sz val="11"/>
        <color rgb="FF595959"/>
        <rFont val="Noto Sans CJK SC"/>
        <family val="2"/>
      </rPr>
      <t xml:space="preserve">戦略の総当たり、</t>
    </r>
    <r>
      <rPr>
        <i val="true"/>
        <sz val="11"/>
        <color rgb="FF595959"/>
        <rFont val="Arial"/>
        <family val="0"/>
        <charset val="1"/>
      </rPr>
      <t xml:space="preserve">441</t>
    </r>
    <r>
      <rPr>
        <i val="true"/>
        <sz val="11"/>
        <color rgb="FF595959"/>
        <rFont val="Noto Sans CJK SC"/>
        <family val="2"/>
      </rPr>
      <t xml:space="preserve">組</t>
    </r>
    <r>
      <rPr>
        <i val="true"/>
        <sz val="11"/>
        <color rgb="FF595959"/>
        <rFont val="Arial"/>
        <family val="0"/>
        <charset val="1"/>
      </rPr>
      <t xml:space="preserve">×100</t>
    </r>
    <r>
      <rPr>
        <i val="true"/>
        <sz val="11"/>
        <color rgb="FF595959"/>
        <rFont val="Noto Sans CJK SC"/>
        <family val="2"/>
      </rPr>
      <t xml:space="preserve">戦</t>
    </r>
    <r>
      <rPr>
        <i val="true"/>
        <sz val="11"/>
        <color rgb="FF595959"/>
        <rFont val="Arial"/>
        <family val="0"/>
        <charset val="1"/>
      </rPr>
      <t xml:space="preserve">=44,100</t>
    </r>
    <r>
      <rPr>
        <i val="true"/>
        <sz val="11"/>
        <color rgb="FF595959"/>
        <rFont val="Noto Sans CJK SC"/>
        <family val="2"/>
      </rPr>
      <t xml:space="preserve">ゲーム。左側は相手を問わない総当たり成績、右側は同じ戦略同士の夫婦</t>
    </r>
    <r>
      <rPr>
        <i val="true"/>
        <sz val="11"/>
        <color rgb="FF595959"/>
        <rFont val="Arial"/>
        <family val="0"/>
        <charset val="1"/>
      </rPr>
      <t xml:space="preserve">100</t>
    </r>
    <r>
      <rPr>
        <i val="true"/>
        <sz val="11"/>
        <color rgb="FF595959"/>
        <rFont val="Noto Sans CJK SC"/>
        <family val="2"/>
      </rPr>
      <t xml:space="preserve">戦の結果。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</si>
</sst>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"/>
    <numFmt numFmtId="167" formatCode="0.0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Noto Sans CJK SC"/>
      <family val="2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i val="true"/>
      <sz val="11"/>
      <color rgb="FF595959"/>
      <name val="Noto Sans CJK SC"/>
      <family val="2"/>
    </font>
    <font>
      <i val="true"/>
      <sz val="11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34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7.15" hidden="false" customHeight="false" outlineLevel="0" collapsed="false">
      <c r="A2" s="2" t="s">
        <v>5</v>
      </c>
      <c r="B2" s="2" t="n">
        <f aca="false">COUNTA(家事イベント!B2:B31)</f>
        <v>30</v>
      </c>
      <c r="C2" s="2" t="s">
        <v>6</v>
      </c>
      <c r="D2" s="2" t="s">
        <v>7</v>
      </c>
      <c r="E2" s="2" t="s">
        <v>8</v>
      </c>
    </row>
    <row r="3" customFormat="false" ht="17.15" hidden="false" customHeight="false" outlineLevel="0" collapsed="false">
      <c r="A3" s="2" t="s">
        <v>9</v>
      </c>
      <c r="B3" s="2" t="n">
        <f aca="false">約束・行動カード!E2+約束・行動カード!E3+約束・行動カード!E4</f>
        <v>6</v>
      </c>
      <c r="C3" s="2" t="s">
        <v>6</v>
      </c>
      <c r="D3" s="3" t="s">
        <v>10</v>
      </c>
      <c r="E3" s="2" t="s">
        <v>11</v>
      </c>
    </row>
    <row r="4" customFormat="false" ht="17.15" hidden="false" customHeight="false" outlineLevel="0" collapsed="false">
      <c r="A4" s="2" t="s">
        <v>12</v>
      </c>
      <c r="B4" s="2" t="n">
        <f aca="false">約束・行動カード!E5+約束・行動カード!E6</f>
        <v>4</v>
      </c>
      <c r="C4" s="2" t="s">
        <v>6</v>
      </c>
      <c r="D4" s="3" t="s">
        <v>13</v>
      </c>
      <c r="E4" s="2" t="s">
        <v>11</v>
      </c>
    </row>
    <row r="5" customFormat="false" ht="17.15" hidden="false" customHeight="false" outlineLevel="0" collapsed="false">
      <c r="A5" s="2" t="s">
        <v>14</v>
      </c>
      <c r="B5" s="2" t="n">
        <f aca="false">特殊カード!C2+特殊カード!C3</f>
        <v>2</v>
      </c>
      <c r="C5" s="2" t="s">
        <v>6</v>
      </c>
      <c r="D5" s="2" t="s">
        <v>15</v>
      </c>
      <c r="E5" s="2" t="s">
        <v>16</v>
      </c>
    </row>
    <row r="6" customFormat="false" ht="32.8" hidden="false" customHeight="false" outlineLevel="0" collapsed="false">
      <c r="A6" s="2" t="s">
        <v>17</v>
      </c>
      <c r="B6" s="2" t="n">
        <f aca="false">特殊カード!C4+特殊カード!C5</f>
        <v>2</v>
      </c>
      <c r="C6" s="2" t="s">
        <v>6</v>
      </c>
      <c r="D6" s="2" t="s">
        <v>18</v>
      </c>
      <c r="E6" s="2"/>
    </row>
    <row r="7" customFormat="false" ht="17.15" hidden="false" customHeight="false" outlineLevel="0" collapsed="false">
      <c r="A7" s="2" t="s">
        <v>19</v>
      </c>
      <c r="B7" s="2" t="n">
        <f aca="false">特殊カード!C6</f>
        <v>2</v>
      </c>
      <c r="C7" s="2" t="s">
        <v>6</v>
      </c>
      <c r="D7" s="3" t="s">
        <v>20</v>
      </c>
      <c r="E7" s="2" t="s">
        <v>21</v>
      </c>
    </row>
    <row r="8" customFormat="false" ht="17.15" hidden="false" customHeight="false" outlineLevel="0" collapsed="false">
      <c r="A8" s="2" t="s">
        <v>22</v>
      </c>
      <c r="B8" s="4" t="n">
        <v>1</v>
      </c>
      <c r="C8" s="2" t="s">
        <v>6</v>
      </c>
      <c r="D8" s="3" t="s">
        <v>23</v>
      </c>
      <c r="E8" s="2" t="s">
        <v>24</v>
      </c>
    </row>
    <row r="9" customFormat="false" ht="17.15" hidden="false" customHeight="false" outlineLevel="0" collapsed="false">
      <c r="A9" s="2" t="s">
        <v>25</v>
      </c>
      <c r="B9" s="4" t="n">
        <v>20</v>
      </c>
      <c r="C9" s="2" t="s">
        <v>26</v>
      </c>
      <c r="D9" s="2" t="s">
        <v>27</v>
      </c>
      <c r="E9" s="3" t="s">
        <v>28</v>
      </c>
    </row>
    <row r="10" customFormat="false" ht="17.15" hidden="false" customHeight="false" outlineLevel="0" collapsed="false">
      <c r="A10" s="2" t="s">
        <v>29</v>
      </c>
      <c r="B10" s="4" t="n">
        <v>10</v>
      </c>
      <c r="C10" s="2" t="s">
        <v>26</v>
      </c>
      <c r="D10" s="2" t="s">
        <v>27</v>
      </c>
      <c r="E10" s="3" t="s">
        <v>30</v>
      </c>
    </row>
    <row r="11" customFormat="false" ht="32.8" hidden="false" customHeight="false" outlineLevel="0" collapsed="false">
      <c r="A11" s="2" t="s">
        <v>31</v>
      </c>
      <c r="B11" s="2" t="n">
        <v>1</v>
      </c>
      <c r="C11" s="2" t="s">
        <v>32</v>
      </c>
      <c r="D11" s="2" t="s">
        <v>33</v>
      </c>
      <c r="E11" s="3" t="s">
        <v>34</v>
      </c>
    </row>
    <row r="13" customFormat="false" ht="17.15" hidden="false" customHeight="false" outlineLevel="0" collapsed="false">
      <c r="A13" s="5" t="s">
        <v>35</v>
      </c>
      <c r="B13" s="5" t="n">
        <f aca="false">SUM(B2:B6)</f>
        <v>44</v>
      </c>
    </row>
    <row r="14" customFormat="false" ht="17.15" hidden="false" customHeight="false" outlineLevel="0" collapsed="false">
      <c r="A14" s="5" t="s">
        <v>36</v>
      </c>
      <c r="B14" s="5" t="n">
        <f aca="false">SUM(B2:B7)</f>
        <v>46</v>
      </c>
    </row>
    <row r="16" customFormat="false" ht="17.15" hidden="false" customHeight="false" outlineLevel="0" collapsed="false">
      <c r="A16" s="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48.5" hidden="false" customHeight="false" outlineLevel="0" collapsed="false">
      <c r="A1" s="7" t="s">
        <v>38</v>
      </c>
      <c r="B1" s="1" t="s">
        <v>39</v>
      </c>
      <c r="C1" s="1" t="s">
        <v>40</v>
      </c>
      <c r="D1" s="1" t="s">
        <v>41</v>
      </c>
      <c r="E1" s="7" t="s">
        <v>42</v>
      </c>
      <c r="F1" s="7" t="s">
        <v>43</v>
      </c>
      <c r="G1" s="7" t="s">
        <v>44</v>
      </c>
    </row>
    <row r="2" customFormat="false" ht="17.15" hidden="false" customHeight="false" outlineLevel="0" collapsed="false">
      <c r="A2" s="3" t="s">
        <v>45</v>
      </c>
      <c r="B2" s="2" t="s">
        <v>46</v>
      </c>
      <c r="C2" s="8" t="n">
        <v>1</v>
      </c>
      <c r="D2" s="2" t="s">
        <v>47</v>
      </c>
      <c r="E2" s="9" t="n">
        <f aca="false">ROUNDUP(C2/2,0)</f>
        <v>1</v>
      </c>
      <c r="F2" s="9" t="n">
        <f aca="false">C2</f>
        <v>1</v>
      </c>
      <c r="G2" s="9" t="n">
        <f aca="false">-(C2+1)</f>
        <v>-2</v>
      </c>
    </row>
    <row r="3" customFormat="false" ht="17.15" hidden="false" customHeight="false" outlineLevel="0" collapsed="false">
      <c r="A3" s="3" t="s">
        <v>48</v>
      </c>
      <c r="B3" s="2" t="s">
        <v>49</v>
      </c>
      <c r="C3" s="8" t="n">
        <v>1</v>
      </c>
      <c r="D3" s="2" t="s">
        <v>50</v>
      </c>
      <c r="E3" s="9" t="n">
        <f aca="false">ROUNDUP(C3/2,0)</f>
        <v>1</v>
      </c>
      <c r="F3" s="9" t="n">
        <f aca="false">C3</f>
        <v>1</v>
      </c>
      <c r="G3" s="9" t="n">
        <f aca="false">-(C3+1)</f>
        <v>-2</v>
      </c>
    </row>
    <row r="4" customFormat="false" ht="17.15" hidden="false" customHeight="false" outlineLevel="0" collapsed="false">
      <c r="A4" s="3" t="s">
        <v>51</v>
      </c>
      <c r="B4" s="2" t="s">
        <v>52</v>
      </c>
      <c r="C4" s="8" t="n">
        <v>1</v>
      </c>
      <c r="D4" s="2" t="s">
        <v>53</v>
      </c>
      <c r="E4" s="9" t="n">
        <f aca="false">ROUNDUP(C4/2,0)</f>
        <v>1</v>
      </c>
      <c r="F4" s="9" t="n">
        <f aca="false">C4</f>
        <v>1</v>
      </c>
      <c r="G4" s="9" t="n">
        <f aca="false">-(C4+1)</f>
        <v>-2</v>
      </c>
    </row>
    <row r="5" customFormat="false" ht="17.15" hidden="false" customHeight="false" outlineLevel="0" collapsed="false">
      <c r="A5" s="3" t="s">
        <v>54</v>
      </c>
      <c r="B5" s="2" t="s">
        <v>55</v>
      </c>
      <c r="C5" s="8" t="n">
        <v>1</v>
      </c>
      <c r="D5" s="2" t="s">
        <v>56</v>
      </c>
      <c r="E5" s="9" t="n">
        <f aca="false">ROUNDUP(C5/2,0)</f>
        <v>1</v>
      </c>
      <c r="F5" s="9" t="n">
        <f aca="false">C5</f>
        <v>1</v>
      </c>
      <c r="G5" s="9" t="n">
        <f aca="false">-(C5+1)</f>
        <v>-2</v>
      </c>
    </row>
    <row r="6" customFormat="false" ht="17.15" hidden="false" customHeight="false" outlineLevel="0" collapsed="false">
      <c r="A6" s="3" t="s">
        <v>57</v>
      </c>
      <c r="B6" s="2" t="s">
        <v>58</v>
      </c>
      <c r="C6" s="8" t="n">
        <v>1</v>
      </c>
      <c r="D6" s="2" t="s">
        <v>59</v>
      </c>
      <c r="E6" s="9" t="n">
        <f aca="false">ROUNDUP(C6/2,0)</f>
        <v>1</v>
      </c>
      <c r="F6" s="9" t="n">
        <f aca="false">C6</f>
        <v>1</v>
      </c>
      <c r="G6" s="9" t="n">
        <f aca="false">-(C6+1)</f>
        <v>-2</v>
      </c>
    </row>
    <row r="7" customFormat="false" ht="17.15" hidden="false" customHeight="false" outlineLevel="0" collapsed="false">
      <c r="A7" s="3" t="s">
        <v>60</v>
      </c>
      <c r="B7" s="2" t="s">
        <v>61</v>
      </c>
      <c r="C7" s="8" t="n">
        <v>1</v>
      </c>
      <c r="D7" s="2" t="s">
        <v>62</v>
      </c>
      <c r="E7" s="9" t="n">
        <f aca="false">ROUNDUP(C7/2,0)</f>
        <v>1</v>
      </c>
      <c r="F7" s="9" t="n">
        <f aca="false">C7</f>
        <v>1</v>
      </c>
      <c r="G7" s="9" t="n">
        <f aca="false">-(C7+1)</f>
        <v>-2</v>
      </c>
    </row>
    <row r="8" customFormat="false" ht="17.15" hidden="false" customHeight="false" outlineLevel="0" collapsed="false">
      <c r="A8" s="3" t="s">
        <v>63</v>
      </c>
      <c r="B8" s="2" t="s">
        <v>64</v>
      </c>
      <c r="C8" s="8" t="n">
        <v>1</v>
      </c>
      <c r="D8" s="2" t="s">
        <v>65</v>
      </c>
      <c r="E8" s="9" t="n">
        <f aca="false">ROUNDUP(C8/2,0)</f>
        <v>1</v>
      </c>
      <c r="F8" s="9" t="n">
        <f aca="false">C8</f>
        <v>1</v>
      </c>
      <c r="G8" s="9" t="n">
        <f aca="false">-(C8+1)</f>
        <v>-2</v>
      </c>
    </row>
    <row r="9" customFormat="false" ht="17.15" hidden="false" customHeight="false" outlineLevel="0" collapsed="false">
      <c r="A9" s="3" t="s">
        <v>66</v>
      </c>
      <c r="B9" s="2" t="s">
        <v>67</v>
      </c>
      <c r="C9" s="8" t="n">
        <v>1</v>
      </c>
      <c r="D9" s="2" t="s">
        <v>68</v>
      </c>
      <c r="E9" s="9" t="n">
        <f aca="false">ROUNDUP(C9/2,0)</f>
        <v>1</v>
      </c>
      <c r="F9" s="9" t="n">
        <f aca="false">C9</f>
        <v>1</v>
      </c>
      <c r="G9" s="9" t="n">
        <f aca="false">-(C9+1)</f>
        <v>-2</v>
      </c>
    </row>
    <row r="10" customFormat="false" ht="17.15" hidden="false" customHeight="false" outlineLevel="0" collapsed="false">
      <c r="A10" s="3" t="s">
        <v>69</v>
      </c>
      <c r="B10" s="2" t="s">
        <v>70</v>
      </c>
      <c r="C10" s="8" t="n">
        <v>1</v>
      </c>
      <c r="D10" s="2" t="s">
        <v>71</v>
      </c>
      <c r="E10" s="9" t="n">
        <f aca="false">ROUNDUP(C10/2,0)</f>
        <v>1</v>
      </c>
      <c r="F10" s="9" t="n">
        <f aca="false">C10</f>
        <v>1</v>
      </c>
      <c r="G10" s="9" t="n">
        <f aca="false">-(C10+1)</f>
        <v>-2</v>
      </c>
    </row>
    <row r="11" customFormat="false" ht="17.15" hidden="false" customHeight="false" outlineLevel="0" collapsed="false">
      <c r="A11" s="3" t="s">
        <v>72</v>
      </c>
      <c r="B11" s="2" t="s">
        <v>73</v>
      </c>
      <c r="C11" s="8" t="n">
        <v>1</v>
      </c>
      <c r="D11" s="2" t="s">
        <v>74</v>
      </c>
      <c r="E11" s="9" t="n">
        <f aca="false">ROUNDUP(C11/2,0)</f>
        <v>1</v>
      </c>
      <c r="F11" s="9" t="n">
        <f aca="false">C11</f>
        <v>1</v>
      </c>
      <c r="G11" s="9" t="n">
        <f aca="false">-(C11+1)</f>
        <v>-2</v>
      </c>
    </row>
    <row r="12" customFormat="false" ht="17.15" hidden="false" customHeight="false" outlineLevel="0" collapsed="false">
      <c r="A12" s="3" t="s">
        <v>75</v>
      </c>
      <c r="B12" s="2" t="s">
        <v>76</v>
      </c>
      <c r="C12" s="8" t="n">
        <v>2</v>
      </c>
      <c r="D12" s="2" t="s">
        <v>77</v>
      </c>
      <c r="E12" s="9" t="n">
        <f aca="false">ROUNDUP(C12/2,0)</f>
        <v>1</v>
      </c>
      <c r="F12" s="9" t="n">
        <f aca="false">C12</f>
        <v>2</v>
      </c>
      <c r="G12" s="9" t="n">
        <f aca="false">-(C12+1)</f>
        <v>-3</v>
      </c>
    </row>
    <row r="13" customFormat="false" ht="17.15" hidden="false" customHeight="false" outlineLevel="0" collapsed="false">
      <c r="A13" s="3" t="s">
        <v>78</v>
      </c>
      <c r="B13" s="2" t="s">
        <v>79</v>
      </c>
      <c r="C13" s="8" t="n">
        <v>2</v>
      </c>
      <c r="D13" s="2" t="s">
        <v>80</v>
      </c>
      <c r="E13" s="9" t="n">
        <f aca="false">ROUNDUP(C13/2,0)</f>
        <v>1</v>
      </c>
      <c r="F13" s="9" t="n">
        <f aca="false">C13</f>
        <v>2</v>
      </c>
      <c r="G13" s="9" t="n">
        <f aca="false">-(C13+1)</f>
        <v>-3</v>
      </c>
    </row>
    <row r="14" customFormat="false" ht="17.15" hidden="false" customHeight="false" outlineLevel="0" collapsed="false">
      <c r="A14" s="3" t="s">
        <v>81</v>
      </c>
      <c r="B14" s="2" t="s">
        <v>82</v>
      </c>
      <c r="C14" s="8" t="n">
        <v>2</v>
      </c>
      <c r="D14" s="3" t="s">
        <v>83</v>
      </c>
      <c r="E14" s="9" t="n">
        <f aca="false">ROUNDUP(C14/2,0)</f>
        <v>1</v>
      </c>
      <c r="F14" s="9" t="n">
        <f aca="false">C14</f>
        <v>2</v>
      </c>
      <c r="G14" s="9" t="n">
        <f aca="false">-(C14+1)</f>
        <v>-3</v>
      </c>
    </row>
    <row r="15" customFormat="false" ht="17.15" hidden="false" customHeight="false" outlineLevel="0" collapsed="false">
      <c r="A15" s="3" t="s">
        <v>84</v>
      </c>
      <c r="B15" s="2" t="s">
        <v>85</v>
      </c>
      <c r="C15" s="8" t="n">
        <v>2</v>
      </c>
      <c r="D15" s="2" t="s">
        <v>86</v>
      </c>
      <c r="E15" s="9" t="n">
        <f aca="false">ROUNDUP(C15/2,0)</f>
        <v>1</v>
      </c>
      <c r="F15" s="9" t="n">
        <f aca="false">C15</f>
        <v>2</v>
      </c>
      <c r="G15" s="9" t="n">
        <f aca="false">-(C15+1)</f>
        <v>-3</v>
      </c>
    </row>
    <row r="16" customFormat="false" ht="17.15" hidden="false" customHeight="false" outlineLevel="0" collapsed="false">
      <c r="A16" s="3" t="s">
        <v>87</v>
      </c>
      <c r="B16" s="2" t="s">
        <v>88</v>
      </c>
      <c r="C16" s="8" t="n">
        <v>2</v>
      </c>
      <c r="D16" s="2" t="s">
        <v>89</v>
      </c>
      <c r="E16" s="9" t="n">
        <f aca="false">ROUNDUP(C16/2,0)</f>
        <v>1</v>
      </c>
      <c r="F16" s="9" t="n">
        <f aca="false">C16</f>
        <v>2</v>
      </c>
      <c r="G16" s="9" t="n">
        <f aca="false">-(C16+1)</f>
        <v>-3</v>
      </c>
    </row>
    <row r="17" customFormat="false" ht="17.15" hidden="false" customHeight="false" outlineLevel="0" collapsed="false">
      <c r="A17" s="3" t="s">
        <v>90</v>
      </c>
      <c r="B17" s="2" t="s">
        <v>91</v>
      </c>
      <c r="C17" s="8" t="n">
        <v>2</v>
      </c>
      <c r="D17" s="2" t="s">
        <v>92</v>
      </c>
      <c r="E17" s="9" t="n">
        <f aca="false">ROUNDUP(C17/2,0)</f>
        <v>1</v>
      </c>
      <c r="F17" s="9" t="n">
        <f aca="false">C17</f>
        <v>2</v>
      </c>
      <c r="G17" s="9" t="n">
        <f aca="false">-(C17+1)</f>
        <v>-3</v>
      </c>
    </row>
    <row r="18" customFormat="false" ht="17.15" hidden="false" customHeight="false" outlineLevel="0" collapsed="false">
      <c r="A18" s="3" t="s">
        <v>93</v>
      </c>
      <c r="B18" s="2" t="s">
        <v>94</v>
      </c>
      <c r="C18" s="8" t="n">
        <v>2</v>
      </c>
      <c r="D18" s="2" t="s">
        <v>95</v>
      </c>
      <c r="E18" s="9" t="n">
        <f aca="false">ROUNDUP(C18/2,0)</f>
        <v>1</v>
      </c>
      <c r="F18" s="9" t="n">
        <f aca="false">C18</f>
        <v>2</v>
      </c>
      <c r="G18" s="9" t="n">
        <f aca="false">-(C18+1)</f>
        <v>-3</v>
      </c>
    </row>
    <row r="19" customFormat="false" ht="17.15" hidden="false" customHeight="false" outlineLevel="0" collapsed="false">
      <c r="A19" s="3" t="s">
        <v>96</v>
      </c>
      <c r="B19" s="2" t="s">
        <v>97</v>
      </c>
      <c r="C19" s="8" t="n">
        <v>2</v>
      </c>
      <c r="D19" s="2" t="s">
        <v>98</v>
      </c>
      <c r="E19" s="9" t="n">
        <f aca="false">ROUNDUP(C19/2,0)</f>
        <v>1</v>
      </c>
      <c r="F19" s="9" t="n">
        <f aca="false">C19</f>
        <v>2</v>
      </c>
      <c r="G19" s="9" t="n">
        <f aca="false">-(C19+1)</f>
        <v>-3</v>
      </c>
    </row>
    <row r="20" customFormat="false" ht="17.15" hidden="false" customHeight="false" outlineLevel="0" collapsed="false">
      <c r="A20" s="3" t="s">
        <v>99</v>
      </c>
      <c r="B20" s="2" t="s">
        <v>100</v>
      </c>
      <c r="C20" s="8" t="n">
        <v>2</v>
      </c>
      <c r="D20" s="2" t="s">
        <v>101</v>
      </c>
      <c r="E20" s="9" t="n">
        <f aca="false">ROUNDUP(C20/2,0)</f>
        <v>1</v>
      </c>
      <c r="F20" s="9" t="n">
        <f aca="false">C20</f>
        <v>2</v>
      </c>
      <c r="G20" s="9" t="n">
        <f aca="false">-(C20+1)</f>
        <v>-3</v>
      </c>
    </row>
    <row r="21" customFormat="false" ht="17.15" hidden="false" customHeight="false" outlineLevel="0" collapsed="false">
      <c r="A21" s="3" t="s">
        <v>102</v>
      </c>
      <c r="B21" s="2" t="s">
        <v>103</v>
      </c>
      <c r="C21" s="8" t="n">
        <v>2</v>
      </c>
      <c r="D21" s="2" t="s">
        <v>104</v>
      </c>
      <c r="E21" s="9" t="n">
        <f aca="false">ROUNDUP(C21/2,0)</f>
        <v>1</v>
      </c>
      <c r="F21" s="9" t="n">
        <f aca="false">C21</f>
        <v>2</v>
      </c>
      <c r="G21" s="9" t="n">
        <f aca="false">-(C21+1)</f>
        <v>-3</v>
      </c>
    </row>
    <row r="22" customFormat="false" ht="17.15" hidden="false" customHeight="false" outlineLevel="0" collapsed="false">
      <c r="A22" s="3" t="s">
        <v>105</v>
      </c>
      <c r="B22" s="2" t="s">
        <v>106</v>
      </c>
      <c r="C22" s="8" t="n">
        <v>3</v>
      </c>
      <c r="D22" s="2" t="s">
        <v>107</v>
      </c>
      <c r="E22" s="9" t="n">
        <f aca="false">ROUNDUP(C22/2,0)</f>
        <v>2</v>
      </c>
      <c r="F22" s="9" t="n">
        <f aca="false">C22</f>
        <v>3</v>
      </c>
      <c r="G22" s="9" t="n">
        <f aca="false">-(C22+1)</f>
        <v>-4</v>
      </c>
    </row>
    <row r="23" customFormat="false" ht="17.15" hidden="false" customHeight="false" outlineLevel="0" collapsed="false">
      <c r="A23" s="3" t="s">
        <v>108</v>
      </c>
      <c r="B23" s="2" t="s">
        <v>109</v>
      </c>
      <c r="C23" s="8" t="n">
        <v>3</v>
      </c>
      <c r="D23" s="2" t="s">
        <v>110</v>
      </c>
      <c r="E23" s="9" t="n">
        <f aca="false">ROUNDUP(C23/2,0)</f>
        <v>2</v>
      </c>
      <c r="F23" s="9" t="n">
        <f aca="false">C23</f>
        <v>3</v>
      </c>
      <c r="G23" s="9" t="n">
        <f aca="false">-(C23+1)</f>
        <v>-4</v>
      </c>
    </row>
    <row r="24" customFormat="false" ht="17.15" hidden="false" customHeight="false" outlineLevel="0" collapsed="false">
      <c r="A24" s="3" t="s">
        <v>111</v>
      </c>
      <c r="B24" s="2" t="s">
        <v>112</v>
      </c>
      <c r="C24" s="8" t="n">
        <v>3</v>
      </c>
      <c r="D24" s="2" t="s">
        <v>113</v>
      </c>
      <c r="E24" s="9" t="n">
        <f aca="false">ROUNDUP(C24/2,0)</f>
        <v>2</v>
      </c>
      <c r="F24" s="9" t="n">
        <f aca="false">C24</f>
        <v>3</v>
      </c>
      <c r="G24" s="9" t="n">
        <f aca="false">-(C24+1)</f>
        <v>-4</v>
      </c>
    </row>
    <row r="25" customFormat="false" ht="17.15" hidden="false" customHeight="false" outlineLevel="0" collapsed="false">
      <c r="A25" s="3" t="s">
        <v>114</v>
      </c>
      <c r="B25" s="2" t="s">
        <v>115</v>
      </c>
      <c r="C25" s="8" t="n">
        <v>3</v>
      </c>
      <c r="D25" s="2" t="s">
        <v>116</v>
      </c>
      <c r="E25" s="9" t="n">
        <f aca="false">ROUNDUP(C25/2,0)</f>
        <v>2</v>
      </c>
      <c r="F25" s="9" t="n">
        <f aca="false">C25</f>
        <v>3</v>
      </c>
      <c r="G25" s="9" t="n">
        <f aca="false">-(C25+1)</f>
        <v>-4</v>
      </c>
    </row>
    <row r="26" customFormat="false" ht="17.15" hidden="false" customHeight="false" outlineLevel="0" collapsed="false">
      <c r="A26" s="3" t="s">
        <v>117</v>
      </c>
      <c r="B26" s="2" t="s">
        <v>118</v>
      </c>
      <c r="C26" s="8" t="n">
        <v>3</v>
      </c>
      <c r="D26" s="2" t="s">
        <v>119</v>
      </c>
      <c r="E26" s="9" t="n">
        <f aca="false">ROUNDUP(C26/2,0)</f>
        <v>2</v>
      </c>
      <c r="F26" s="9" t="n">
        <f aca="false">C26</f>
        <v>3</v>
      </c>
      <c r="G26" s="9" t="n">
        <f aca="false">-(C26+1)</f>
        <v>-4</v>
      </c>
    </row>
    <row r="27" customFormat="false" ht="17.15" hidden="false" customHeight="false" outlineLevel="0" collapsed="false">
      <c r="A27" s="3" t="s">
        <v>120</v>
      </c>
      <c r="B27" s="2" t="s">
        <v>121</v>
      </c>
      <c r="C27" s="8" t="n">
        <v>3</v>
      </c>
      <c r="D27" s="2" t="s">
        <v>122</v>
      </c>
      <c r="E27" s="9" t="n">
        <f aca="false">ROUNDUP(C27/2,0)</f>
        <v>2</v>
      </c>
      <c r="F27" s="9" t="n">
        <f aca="false">C27</f>
        <v>3</v>
      </c>
      <c r="G27" s="9" t="n">
        <f aca="false">-(C27+1)</f>
        <v>-4</v>
      </c>
    </row>
    <row r="28" customFormat="false" ht="17.15" hidden="false" customHeight="false" outlineLevel="0" collapsed="false">
      <c r="A28" s="3" t="s">
        <v>123</v>
      </c>
      <c r="B28" s="2" t="s">
        <v>124</v>
      </c>
      <c r="C28" s="8" t="n">
        <v>3</v>
      </c>
      <c r="D28" s="2" t="s">
        <v>125</v>
      </c>
      <c r="E28" s="9" t="n">
        <f aca="false">ROUNDUP(C28/2,0)</f>
        <v>2</v>
      </c>
      <c r="F28" s="9" t="n">
        <f aca="false">C28</f>
        <v>3</v>
      </c>
      <c r="G28" s="9" t="n">
        <f aca="false">-(C28+1)</f>
        <v>-4</v>
      </c>
    </row>
    <row r="29" customFormat="false" ht="17.15" hidden="false" customHeight="false" outlineLevel="0" collapsed="false">
      <c r="A29" s="3" t="s">
        <v>126</v>
      </c>
      <c r="B29" s="2" t="s">
        <v>127</v>
      </c>
      <c r="C29" s="8" t="n">
        <v>3</v>
      </c>
      <c r="D29" s="2" t="s">
        <v>128</v>
      </c>
      <c r="E29" s="9" t="n">
        <f aca="false">ROUNDUP(C29/2,0)</f>
        <v>2</v>
      </c>
      <c r="F29" s="9" t="n">
        <f aca="false">C29</f>
        <v>3</v>
      </c>
      <c r="G29" s="9" t="n">
        <f aca="false">-(C29+1)</f>
        <v>-4</v>
      </c>
    </row>
    <row r="30" customFormat="false" ht="17.15" hidden="false" customHeight="false" outlineLevel="0" collapsed="false">
      <c r="A30" s="3" t="s">
        <v>129</v>
      </c>
      <c r="B30" s="2" t="s">
        <v>130</v>
      </c>
      <c r="C30" s="8" t="n">
        <v>3</v>
      </c>
      <c r="D30" s="2" t="s">
        <v>131</v>
      </c>
      <c r="E30" s="9" t="n">
        <f aca="false">ROUNDUP(C30/2,0)</f>
        <v>2</v>
      </c>
      <c r="F30" s="9" t="n">
        <f aca="false">C30</f>
        <v>3</v>
      </c>
      <c r="G30" s="9" t="n">
        <f aca="false">-(C30+1)</f>
        <v>-4</v>
      </c>
    </row>
    <row r="31" customFormat="false" ht="17.15" hidden="false" customHeight="false" outlineLevel="0" collapsed="false">
      <c r="A31" s="3" t="s">
        <v>132</v>
      </c>
      <c r="B31" s="2" t="s">
        <v>133</v>
      </c>
      <c r="C31" s="8" t="n">
        <v>3</v>
      </c>
      <c r="D31" s="2" t="s">
        <v>134</v>
      </c>
      <c r="E31" s="9" t="n">
        <f aca="false">ROUNDUP(C31/2,0)</f>
        <v>2</v>
      </c>
      <c r="F31" s="9" t="n">
        <f aca="false">C31</f>
        <v>3</v>
      </c>
      <c r="G31" s="9" t="n">
        <f aca="false">-(C31+1)</f>
        <v>-4</v>
      </c>
    </row>
    <row r="33" customFormat="false" ht="15" hidden="false" customHeight="false" outlineLevel="0" collapsed="false">
      <c r="B33" s="5" t="s">
        <v>135</v>
      </c>
    </row>
    <row r="34" customFormat="false" ht="17.15" hidden="false" customHeight="false" outlineLevel="0" collapsed="false">
      <c r="B34" s="10" t="s">
        <v>136</v>
      </c>
      <c r="C34" s="10" t="n">
        <f aca="false">COUNTIF($C$2:$C$31,1)</f>
        <v>10</v>
      </c>
    </row>
    <row r="35" customFormat="false" ht="17.15" hidden="false" customHeight="false" outlineLevel="0" collapsed="false">
      <c r="B35" s="10" t="s">
        <v>137</v>
      </c>
      <c r="C35" s="10" t="n">
        <f aca="false">COUNTIF($C$2:$C$31,2)</f>
        <v>10</v>
      </c>
    </row>
    <row r="36" customFormat="false" ht="17.15" hidden="false" customHeight="false" outlineLevel="0" collapsed="false">
      <c r="B36" s="10" t="s">
        <v>138</v>
      </c>
      <c r="C36" s="10" t="n">
        <f aca="false">COUNTIF($C$2:$C$31,3)</f>
        <v>10</v>
      </c>
    </row>
    <row r="37" customFormat="false" ht="15" hidden="false" customHeight="false" outlineLevel="0" collapsed="false">
      <c r="B37" s="5" t="s">
        <v>139</v>
      </c>
      <c r="C37" s="5" t="n">
        <f aca="false">SUM(C34:C36)</f>
        <v>30</v>
      </c>
    </row>
    <row r="38" customFormat="false" ht="15" hidden="false" customHeight="false" outlineLevel="0" collapsed="false">
      <c r="B38" s="10" t="s">
        <v>140</v>
      </c>
      <c r="C38" s="11" t="n">
        <f aca="false">AVERAGE($C$2:$C$31)</f>
        <v>2</v>
      </c>
    </row>
    <row r="40" customFormat="false" ht="17.15" hidden="false" customHeight="false" outlineLevel="0" collapsed="false">
      <c r="B40" s="6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56"/>
  </cols>
  <sheetData>
    <row r="1" customFormat="false" ht="32.8" hidden="false" customHeight="false" outlineLevel="0" collapsed="false">
      <c r="A1" s="1" t="s">
        <v>142</v>
      </c>
      <c r="B1" s="1" t="s">
        <v>39</v>
      </c>
      <c r="C1" s="7" t="s">
        <v>143</v>
      </c>
      <c r="D1" s="1" t="s">
        <v>144</v>
      </c>
      <c r="E1" s="1" t="s">
        <v>145</v>
      </c>
      <c r="F1" s="1" t="s">
        <v>146</v>
      </c>
      <c r="G1" s="1" t="s">
        <v>147</v>
      </c>
    </row>
    <row r="2" customFormat="false" ht="32.8" hidden="false" customHeight="false" outlineLevel="0" collapsed="false">
      <c r="A2" s="2" t="s">
        <v>9</v>
      </c>
      <c r="B2" s="2" t="s">
        <v>148</v>
      </c>
      <c r="C2" s="2" t="n">
        <v>1</v>
      </c>
      <c r="D2" s="2" t="n">
        <v>2</v>
      </c>
      <c r="E2" s="2" t="n">
        <f aca="false">C2*D2</f>
        <v>2</v>
      </c>
      <c r="F2" s="2" t="s">
        <v>149</v>
      </c>
      <c r="G2" s="3" t="s">
        <v>150</v>
      </c>
    </row>
    <row r="3" customFormat="false" ht="32.8" hidden="false" customHeight="false" outlineLevel="0" collapsed="false">
      <c r="A3" s="2" t="s">
        <v>9</v>
      </c>
      <c r="B3" s="2" t="s">
        <v>151</v>
      </c>
      <c r="C3" s="2" t="n">
        <v>1</v>
      </c>
      <c r="D3" s="2" t="n">
        <v>2</v>
      </c>
      <c r="E3" s="2" t="n">
        <f aca="false">C3*D3</f>
        <v>2</v>
      </c>
      <c r="F3" s="2" t="s">
        <v>152</v>
      </c>
      <c r="G3" s="2" t="s">
        <v>153</v>
      </c>
    </row>
    <row r="4" customFormat="false" ht="32.8" hidden="false" customHeight="false" outlineLevel="0" collapsed="false">
      <c r="A4" s="2" t="s">
        <v>9</v>
      </c>
      <c r="B4" s="2" t="s">
        <v>154</v>
      </c>
      <c r="C4" s="2" t="n">
        <v>1</v>
      </c>
      <c r="D4" s="2" t="n">
        <v>2</v>
      </c>
      <c r="E4" s="2" t="n">
        <f aca="false">C4*D4</f>
        <v>2</v>
      </c>
      <c r="F4" s="2" t="s">
        <v>155</v>
      </c>
      <c r="G4" s="2" t="s">
        <v>156</v>
      </c>
    </row>
    <row r="5" customFormat="false" ht="17.15" hidden="false" customHeight="false" outlineLevel="0" collapsed="false">
      <c r="A5" s="2" t="s">
        <v>12</v>
      </c>
      <c r="B5" s="2" t="s">
        <v>157</v>
      </c>
      <c r="C5" s="2" t="n">
        <v>1</v>
      </c>
      <c r="D5" s="2" t="n">
        <v>2</v>
      </c>
      <c r="E5" s="2" t="n">
        <f aca="false">C5*D5</f>
        <v>2</v>
      </c>
      <c r="F5" s="2" t="s">
        <v>157</v>
      </c>
      <c r="G5" s="2" t="s">
        <v>158</v>
      </c>
    </row>
    <row r="6" customFormat="false" ht="17.15" hidden="false" customHeight="false" outlineLevel="0" collapsed="false">
      <c r="A6" s="2" t="s">
        <v>12</v>
      </c>
      <c r="B6" s="2" t="s">
        <v>159</v>
      </c>
      <c r="C6" s="2" t="n">
        <v>1</v>
      </c>
      <c r="D6" s="2" t="n">
        <v>2</v>
      </c>
      <c r="E6" s="2" t="n">
        <f aca="false">C6*D6</f>
        <v>2</v>
      </c>
      <c r="F6" s="2" t="s">
        <v>159</v>
      </c>
      <c r="G6" s="2" t="s">
        <v>160</v>
      </c>
    </row>
    <row r="7" customFormat="false" ht="15" hidden="false" customHeight="false" outlineLevel="0" collapsed="false">
      <c r="D7" s="5" t="s">
        <v>139</v>
      </c>
      <c r="E7" s="5" t="n">
        <f aca="false">SUM(E2:E6)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7"/>
    <col collapsed="false" customWidth="true" hidden="false" outlineLevel="0" max="4" min="4" style="0" width="38"/>
    <col collapsed="false" customWidth="true" hidden="false" outlineLevel="0" max="5" min="5" style="0" width="60"/>
  </cols>
  <sheetData>
    <row r="1" customFormat="false" ht="17.15" hidden="false" customHeight="false" outlineLevel="0" collapsed="false">
      <c r="A1" s="1" t="s">
        <v>142</v>
      </c>
      <c r="B1" s="1" t="s">
        <v>39</v>
      </c>
      <c r="C1" s="1" t="s">
        <v>161</v>
      </c>
      <c r="D1" s="1" t="s">
        <v>162</v>
      </c>
      <c r="E1" s="1" t="s">
        <v>146</v>
      </c>
    </row>
    <row r="2" customFormat="false" ht="32.8" hidden="false" customHeight="false" outlineLevel="0" collapsed="false">
      <c r="A2" s="2" t="s">
        <v>163</v>
      </c>
      <c r="B2" s="2" t="s">
        <v>164</v>
      </c>
      <c r="C2" s="2" t="n">
        <v>1</v>
      </c>
      <c r="D2" s="2" t="s">
        <v>165</v>
      </c>
      <c r="E2" s="2" t="s">
        <v>166</v>
      </c>
    </row>
    <row r="3" customFormat="false" ht="32.8" hidden="false" customHeight="false" outlineLevel="0" collapsed="false">
      <c r="A3" s="2" t="s">
        <v>163</v>
      </c>
      <c r="B3" s="2" t="s">
        <v>167</v>
      </c>
      <c r="C3" s="2" t="n">
        <v>1</v>
      </c>
      <c r="D3" s="2" t="s">
        <v>168</v>
      </c>
      <c r="E3" s="2" t="s">
        <v>169</v>
      </c>
    </row>
    <row r="4" customFormat="false" ht="32.8" hidden="false" customHeight="false" outlineLevel="0" collapsed="false">
      <c r="A4" s="2" t="s">
        <v>170</v>
      </c>
      <c r="B4" s="2" t="s">
        <v>171</v>
      </c>
      <c r="C4" s="2" t="n">
        <v>1</v>
      </c>
      <c r="D4" s="2" t="s">
        <v>172</v>
      </c>
      <c r="E4" s="2" t="s">
        <v>173</v>
      </c>
    </row>
    <row r="5" customFormat="false" ht="32.8" hidden="false" customHeight="false" outlineLevel="0" collapsed="false">
      <c r="A5" s="2" t="s">
        <v>170</v>
      </c>
      <c r="B5" s="2" t="s">
        <v>174</v>
      </c>
      <c r="C5" s="2" t="n">
        <v>1</v>
      </c>
      <c r="D5" s="2" t="s">
        <v>175</v>
      </c>
      <c r="E5" s="2" t="s">
        <v>176</v>
      </c>
    </row>
    <row r="6" customFormat="false" ht="17.15" hidden="false" customHeight="false" outlineLevel="0" collapsed="false">
      <c r="A6" s="2" t="s">
        <v>177</v>
      </c>
      <c r="B6" s="2" t="s">
        <v>178</v>
      </c>
      <c r="C6" s="2" t="n">
        <v>2</v>
      </c>
      <c r="D6" s="3" t="s">
        <v>179</v>
      </c>
      <c r="E6" s="2" t="s">
        <v>180</v>
      </c>
    </row>
    <row r="7" customFormat="false" ht="15" hidden="false" customHeight="false" outlineLevel="0" collapsed="false">
      <c r="B7" s="5" t="s">
        <v>139</v>
      </c>
      <c r="C7" s="5" t="n">
        <f aca="false">SUM(C2:C6)</f>
        <v>6</v>
      </c>
    </row>
    <row r="9" customFormat="false" ht="17.15" hidden="false" customHeight="false" outlineLevel="0" collapsed="false">
      <c r="A9" s="6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46"/>
  </cols>
  <sheetData>
    <row r="1" customFormat="false" ht="32.8" hidden="false" customHeight="false" outlineLevel="0" collapsed="false">
      <c r="A1" s="1" t="s">
        <v>182</v>
      </c>
      <c r="B1" s="1" t="s">
        <v>183</v>
      </c>
      <c r="C1" s="1" t="s">
        <v>2</v>
      </c>
      <c r="D1" s="1" t="s">
        <v>184</v>
      </c>
      <c r="E1" s="1" t="s">
        <v>185</v>
      </c>
    </row>
    <row r="2" customFormat="false" ht="17.15" hidden="false" customHeight="false" outlineLevel="0" collapsed="false">
      <c r="A2" s="2" t="s">
        <v>186</v>
      </c>
      <c r="B2" s="4" t="n">
        <v>10</v>
      </c>
      <c r="C2" s="2"/>
      <c r="D2" s="2" t="s">
        <v>187</v>
      </c>
      <c r="E2" s="2" t="s">
        <v>188</v>
      </c>
    </row>
    <row r="3" customFormat="false" ht="32.8" hidden="false" customHeight="false" outlineLevel="0" collapsed="false">
      <c r="A3" s="2" t="s">
        <v>189</v>
      </c>
      <c r="B3" s="4" t="n">
        <v>10</v>
      </c>
      <c r="C3" s="2" t="s">
        <v>190</v>
      </c>
      <c r="D3" s="2" t="s">
        <v>191</v>
      </c>
      <c r="E3" s="2"/>
    </row>
    <row r="4" customFormat="false" ht="17.15" hidden="false" customHeight="false" outlineLevel="0" collapsed="false">
      <c r="A4" s="2" t="s">
        <v>192</v>
      </c>
      <c r="B4" s="4" t="n">
        <v>15</v>
      </c>
      <c r="C4" s="2" t="s">
        <v>193</v>
      </c>
      <c r="D4" s="2"/>
      <c r="E4" s="2"/>
    </row>
    <row r="5" customFormat="false" ht="32.8" hidden="false" customHeight="false" outlineLevel="0" collapsed="false">
      <c r="A5" s="2" t="s">
        <v>194</v>
      </c>
      <c r="B5" s="4" t="n">
        <v>7</v>
      </c>
      <c r="C5" s="2" t="s">
        <v>195</v>
      </c>
      <c r="D5" s="2"/>
      <c r="E5" s="2" t="s">
        <v>196</v>
      </c>
    </row>
    <row r="6" customFormat="false" ht="17.15" hidden="false" customHeight="false" outlineLevel="0" collapsed="false">
      <c r="A6" s="2" t="s">
        <v>197</v>
      </c>
      <c r="B6" s="4" t="n">
        <v>1</v>
      </c>
      <c r="C6" s="2" t="s">
        <v>198</v>
      </c>
      <c r="D6" s="2" t="s">
        <v>199</v>
      </c>
      <c r="E6" s="2"/>
    </row>
    <row r="7" customFormat="false" ht="17.15" hidden="false" customHeight="false" outlineLevel="0" collapsed="false">
      <c r="A7" s="2" t="s">
        <v>200</v>
      </c>
      <c r="B7" s="4" t="n">
        <v>2</v>
      </c>
      <c r="C7" s="2" t="s">
        <v>26</v>
      </c>
      <c r="D7" s="2" t="s">
        <v>201</v>
      </c>
      <c r="E7" s="2"/>
    </row>
    <row r="8" customFormat="false" ht="32.8" hidden="false" customHeight="false" outlineLevel="0" collapsed="false">
      <c r="A8" s="2" t="s">
        <v>202</v>
      </c>
      <c r="B8" s="4" t="n">
        <v>1</v>
      </c>
      <c r="C8" s="2" t="s">
        <v>193</v>
      </c>
      <c r="D8" s="2"/>
      <c r="E8" s="3" t="s">
        <v>203</v>
      </c>
    </row>
    <row r="9" customFormat="false" ht="17.15" hidden="false" customHeight="false" outlineLevel="0" collapsed="false">
      <c r="A9" s="2" t="s">
        <v>204</v>
      </c>
      <c r="B9" s="4" t="n">
        <v>2</v>
      </c>
      <c r="C9" s="2" t="s">
        <v>193</v>
      </c>
      <c r="D9" s="2"/>
      <c r="E9" s="2" t="s">
        <v>205</v>
      </c>
    </row>
    <row r="10" customFormat="false" ht="17.15" hidden="false" customHeight="false" outlineLevel="0" collapsed="false">
      <c r="A10" s="2" t="s">
        <v>206</v>
      </c>
      <c r="B10" s="4" t="n">
        <v>4</v>
      </c>
      <c r="C10" s="2" t="s">
        <v>26</v>
      </c>
      <c r="D10" s="2"/>
      <c r="E10" s="2"/>
    </row>
    <row r="11" customFormat="false" ht="17.15" hidden="false" customHeight="false" outlineLevel="0" collapsed="false">
      <c r="A11" s="2" t="s">
        <v>207</v>
      </c>
      <c r="B11" s="4" t="n">
        <v>2</v>
      </c>
      <c r="C11" s="2" t="s">
        <v>26</v>
      </c>
      <c r="D11" s="2" t="s">
        <v>208</v>
      </c>
      <c r="E11" s="2"/>
    </row>
    <row r="12" customFormat="false" ht="17.15" hidden="false" customHeight="false" outlineLevel="0" collapsed="false">
      <c r="A12" s="2" t="s">
        <v>209</v>
      </c>
      <c r="B12" s="4" t="n">
        <v>-10</v>
      </c>
      <c r="C12" s="2" t="s">
        <v>210</v>
      </c>
      <c r="D12" s="2"/>
      <c r="E12" s="2"/>
    </row>
    <row r="13" customFormat="false" ht="17.15" hidden="false" customHeight="false" outlineLevel="0" collapsed="false">
      <c r="A13" s="2" t="s">
        <v>211</v>
      </c>
      <c r="B13" s="4" t="n">
        <v>21</v>
      </c>
      <c r="C13" s="2" t="s">
        <v>212</v>
      </c>
      <c r="D13" s="2" t="s">
        <v>213</v>
      </c>
      <c r="E13" s="2"/>
    </row>
    <row r="14" customFormat="false" ht="32.8" hidden="false" customHeight="false" outlineLevel="0" collapsed="false">
      <c r="A14" s="2" t="s">
        <v>214</v>
      </c>
      <c r="B14" s="4" t="n">
        <v>20</v>
      </c>
      <c r="C14" s="2" t="s">
        <v>215</v>
      </c>
      <c r="D14" s="2" t="s">
        <v>216</v>
      </c>
      <c r="E14" s="2"/>
    </row>
    <row r="16" customFormat="false" ht="17.15" hidden="false" customHeight="false" outlineLevel="0" collapsed="false">
      <c r="A16" s="6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6" min="4" style="0" width="9"/>
    <col collapsed="false" customWidth="true" hidden="false" outlineLevel="0" max="8" min="7" style="0" width="10"/>
    <col collapsed="false" customWidth="true" hidden="false" outlineLevel="0" max="10" min="9" style="0" width="12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9"/>
    <col collapsed="false" customWidth="true" hidden="false" outlineLevel="0" max="16" min="16" style="0" width="10"/>
  </cols>
  <sheetData>
    <row r="1" customFormat="false" ht="48.5" hidden="false" customHeight="false" outlineLevel="0" collapsed="false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232</v>
      </c>
      <c r="P1" s="1" t="s">
        <v>233</v>
      </c>
    </row>
    <row r="2" customFormat="false" ht="17.15" hidden="false" customHeight="false" outlineLevel="0" collapsed="false">
      <c r="A2" s="2" t="n">
        <v>1</v>
      </c>
      <c r="B2" s="2" t="s">
        <v>234</v>
      </c>
      <c r="C2" s="2" t="s">
        <v>235</v>
      </c>
      <c r="D2" s="12" t="n">
        <v>41.8</v>
      </c>
      <c r="E2" s="13" t="n">
        <v>0.68</v>
      </c>
      <c r="F2" s="13" t="n">
        <v>0.18</v>
      </c>
      <c r="G2" s="13" t="n">
        <v>0</v>
      </c>
      <c r="H2" s="13" t="n">
        <v>0.1</v>
      </c>
      <c r="I2" s="13" t="n">
        <v>1</v>
      </c>
      <c r="J2" s="13" t="n">
        <v>0</v>
      </c>
      <c r="K2" s="12" t="n">
        <v>84.5</v>
      </c>
      <c r="L2" s="12" t="n">
        <v>84.6</v>
      </c>
      <c r="M2" s="12" t="n">
        <f aca="false">K2+L2</f>
        <v>169.1</v>
      </c>
      <c r="N2" s="12" t="n">
        <v>3.1</v>
      </c>
      <c r="O2" s="12" t="n">
        <v>0.3</v>
      </c>
      <c r="P2" s="12" t="n">
        <v>0</v>
      </c>
    </row>
    <row r="3" customFormat="false" ht="17.15" hidden="false" customHeight="false" outlineLevel="0" collapsed="false">
      <c r="A3" s="2" t="n">
        <v>2</v>
      </c>
      <c r="B3" s="2" t="s">
        <v>236</v>
      </c>
      <c r="C3" s="2" t="s">
        <v>235</v>
      </c>
      <c r="D3" s="12" t="n">
        <v>40.1</v>
      </c>
      <c r="E3" s="13" t="n">
        <v>0.66</v>
      </c>
      <c r="F3" s="13" t="n">
        <v>0.17</v>
      </c>
      <c r="G3" s="13" t="n">
        <v>0.08</v>
      </c>
      <c r="H3" s="13" t="n">
        <v>0.09</v>
      </c>
      <c r="I3" s="13" t="n">
        <v>1</v>
      </c>
      <c r="J3" s="13" t="n">
        <v>0</v>
      </c>
      <c r="K3" s="12" t="n">
        <v>82.3</v>
      </c>
      <c r="L3" s="12" t="n">
        <v>82.4</v>
      </c>
      <c r="M3" s="12" t="n">
        <f aca="false">K3+L3</f>
        <v>164.7</v>
      </c>
      <c r="N3" s="12" t="n">
        <v>3.2</v>
      </c>
      <c r="O3" s="12" t="n">
        <v>0.2</v>
      </c>
      <c r="P3" s="12" t="n">
        <v>0</v>
      </c>
    </row>
    <row r="4" customFormat="false" ht="17.15" hidden="false" customHeight="false" outlineLevel="0" collapsed="false">
      <c r="A4" s="2" t="n">
        <v>3</v>
      </c>
      <c r="B4" s="2" t="s">
        <v>237</v>
      </c>
      <c r="C4" s="2" t="s">
        <v>235</v>
      </c>
      <c r="D4" s="12" t="n">
        <v>39.3</v>
      </c>
      <c r="E4" s="13" t="n">
        <v>0.68</v>
      </c>
      <c r="F4" s="13" t="n">
        <v>0.18</v>
      </c>
      <c r="G4" s="13" t="n">
        <v>0</v>
      </c>
      <c r="H4" s="13" t="n">
        <v>0.1</v>
      </c>
      <c r="I4" s="13" t="n">
        <v>1</v>
      </c>
      <c r="J4" s="13" t="n">
        <v>0</v>
      </c>
      <c r="K4" s="12" t="n">
        <v>65.1</v>
      </c>
      <c r="L4" s="12" t="n">
        <v>65.2</v>
      </c>
      <c r="M4" s="12" t="n">
        <f aca="false">K4+L4</f>
        <v>130.3</v>
      </c>
      <c r="N4" s="12" t="n">
        <v>25.3</v>
      </c>
      <c r="O4" s="12" t="n">
        <v>0</v>
      </c>
      <c r="P4" s="12" t="n">
        <v>0</v>
      </c>
    </row>
    <row r="5" customFormat="false" ht="17.15" hidden="false" customHeight="false" outlineLevel="0" collapsed="false">
      <c r="A5" s="2" t="n">
        <v>4</v>
      </c>
      <c r="B5" s="2" t="s">
        <v>238</v>
      </c>
      <c r="C5" s="2" t="s">
        <v>235</v>
      </c>
      <c r="D5" s="12" t="n">
        <v>37.8</v>
      </c>
      <c r="E5" s="13" t="n">
        <v>0.63</v>
      </c>
      <c r="F5" s="13" t="n">
        <v>0.2</v>
      </c>
      <c r="G5" s="13" t="n">
        <v>0</v>
      </c>
      <c r="H5" s="13" t="n">
        <v>0.09</v>
      </c>
      <c r="I5" s="13" t="n">
        <v>1</v>
      </c>
      <c r="J5" s="13" t="n">
        <v>0</v>
      </c>
      <c r="K5" s="12" t="n">
        <v>80.6</v>
      </c>
      <c r="L5" s="12" t="n">
        <v>80.6</v>
      </c>
      <c r="M5" s="12" t="n">
        <f aca="false">K5+L5</f>
        <v>161.2</v>
      </c>
      <c r="N5" s="12" t="n">
        <v>0</v>
      </c>
      <c r="O5" s="12" t="n">
        <v>2</v>
      </c>
      <c r="P5" s="12" t="n">
        <v>0</v>
      </c>
    </row>
    <row r="6" customFormat="false" ht="17.15" hidden="false" customHeight="false" outlineLevel="0" collapsed="false">
      <c r="A6" s="2" t="n">
        <v>5</v>
      </c>
      <c r="B6" s="2" t="s">
        <v>239</v>
      </c>
      <c r="C6" s="2" t="s">
        <v>235</v>
      </c>
      <c r="D6" s="12" t="n">
        <v>37.1</v>
      </c>
      <c r="E6" s="13" t="n">
        <v>0.63</v>
      </c>
      <c r="F6" s="13" t="n">
        <v>0.2</v>
      </c>
      <c r="G6" s="13" t="n">
        <v>0</v>
      </c>
      <c r="H6" s="13" t="n">
        <v>0.1</v>
      </c>
      <c r="I6" s="13" t="n">
        <v>1</v>
      </c>
      <c r="J6" s="13" t="n">
        <v>0</v>
      </c>
      <c r="K6" s="12" t="n">
        <v>79.8</v>
      </c>
      <c r="L6" s="12" t="n">
        <v>79.8</v>
      </c>
      <c r="M6" s="12" t="n">
        <f aca="false">K6+L6</f>
        <v>159.6</v>
      </c>
      <c r="N6" s="12" t="n">
        <v>0</v>
      </c>
      <c r="O6" s="12" t="n">
        <v>2.1</v>
      </c>
      <c r="P6" s="12" t="n">
        <v>0</v>
      </c>
    </row>
    <row r="7" customFormat="false" ht="17.15" hidden="false" customHeight="false" outlineLevel="0" collapsed="false">
      <c r="A7" s="2" t="n">
        <v>6</v>
      </c>
      <c r="B7" s="2" t="s">
        <v>240</v>
      </c>
      <c r="C7" s="2" t="s">
        <v>241</v>
      </c>
      <c r="D7" s="12" t="n">
        <v>34.8</v>
      </c>
      <c r="E7" s="13" t="n">
        <v>0.67</v>
      </c>
      <c r="F7" s="13" t="n">
        <v>0.19</v>
      </c>
      <c r="G7" s="13" t="n">
        <v>0</v>
      </c>
      <c r="H7" s="13" t="n">
        <v>0.1</v>
      </c>
      <c r="I7" s="13" t="n">
        <v>1</v>
      </c>
      <c r="J7" s="13" t="n">
        <v>0</v>
      </c>
      <c r="K7" s="12" t="n">
        <v>56</v>
      </c>
      <c r="L7" s="12" t="n">
        <v>56</v>
      </c>
      <c r="M7" s="12" t="n">
        <f aca="false">K7+L7</f>
        <v>112</v>
      </c>
      <c r="N7" s="12" t="n">
        <v>0</v>
      </c>
      <c r="O7" s="12" t="n">
        <v>2.2</v>
      </c>
      <c r="P7" s="12" t="n">
        <v>0</v>
      </c>
    </row>
    <row r="8" customFormat="false" ht="17.15" hidden="false" customHeight="false" outlineLevel="0" collapsed="false">
      <c r="A8" s="2" t="n">
        <v>7</v>
      </c>
      <c r="B8" s="2" t="s">
        <v>242</v>
      </c>
      <c r="C8" s="2" t="s">
        <v>241</v>
      </c>
      <c r="D8" s="12" t="n">
        <v>34.7</v>
      </c>
      <c r="E8" s="13" t="n">
        <v>0.66</v>
      </c>
      <c r="F8" s="13" t="n">
        <v>0.19</v>
      </c>
      <c r="G8" s="13" t="n">
        <v>0.03</v>
      </c>
      <c r="H8" s="13" t="n">
        <v>0.08</v>
      </c>
      <c r="I8" s="13" t="n">
        <v>0.99</v>
      </c>
      <c r="J8" s="13" t="n">
        <v>0.01</v>
      </c>
      <c r="K8" s="12" t="n">
        <v>54.2</v>
      </c>
      <c r="L8" s="12" t="n">
        <v>54.5</v>
      </c>
      <c r="M8" s="12" t="n">
        <f aca="false">K8+L8</f>
        <v>108.7</v>
      </c>
      <c r="N8" s="12" t="n">
        <v>0</v>
      </c>
      <c r="O8" s="12" t="n">
        <v>1.9</v>
      </c>
      <c r="P8" s="12" t="n">
        <v>0</v>
      </c>
    </row>
    <row r="9" customFormat="false" ht="17.15" hidden="false" customHeight="false" outlineLevel="0" collapsed="false">
      <c r="A9" s="2" t="n">
        <v>8</v>
      </c>
      <c r="B9" s="2" t="s">
        <v>243</v>
      </c>
      <c r="C9" s="2" t="s">
        <v>241</v>
      </c>
      <c r="D9" s="12" t="n">
        <v>34.6</v>
      </c>
      <c r="E9" s="13" t="n">
        <v>0.64</v>
      </c>
      <c r="F9" s="13" t="n">
        <v>0.21</v>
      </c>
      <c r="G9" s="13" t="n">
        <v>0.04</v>
      </c>
      <c r="H9" s="13" t="n">
        <v>0.05</v>
      </c>
      <c r="I9" s="13" t="n">
        <v>0.98</v>
      </c>
      <c r="J9" s="13" t="n">
        <v>0</v>
      </c>
      <c r="K9" s="12" t="n">
        <v>53.9</v>
      </c>
      <c r="L9" s="12" t="n">
        <v>53.9</v>
      </c>
      <c r="M9" s="12" t="n">
        <f aca="false">K9+L9</f>
        <v>107.8</v>
      </c>
      <c r="N9" s="12" t="n">
        <v>0</v>
      </c>
      <c r="O9" s="12" t="n">
        <v>1.5</v>
      </c>
      <c r="P9" s="12" t="n">
        <v>0</v>
      </c>
    </row>
    <row r="10" customFormat="false" ht="17.15" hidden="false" customHeight="false" outlineLevel="0" collapsed="false">
      <c r="A10" s="2" t="n">
        <v>9</v>
      </c>
      <c r="B10" s="3" t="s">
        <v>244</v>
      </c>
      <c r="C10" s="2" t="s">
        <v>241</v>
      </c>
      <c r="D10" s="12" t="n">
        <v>34</v>
      </c>
      <c r="E10" s="13" t="n">
        <v>0.65</v>
      </c>
      <c r="F10" s="13" t="n">
        <v>0.24</v>
      </c>
      <c r="G10" s="13" t="n">
        <v>0.02</v>
      </c>
      <c r="H10" s="13" t="n">
        <v>0.07</v>
      </c>
      <c r="I10" s="13" t="n">
        <v>1</v>
      </c>
      <c r="J10" s="13" t="n">
        <v>0</v>
      </c>
      <c r="K10" s="12" t="n">
        <v>56.9</v>
      </c>
      <c r="L10" s="12" t="n">
        <v>56.9</v>
      </c>
      <c r="M10" s="12" t="n">
        <f aca="false">K10+L10</f>
        <v>113.8</v>
      </c>
      <c r="N10" s="12" t="n">
        <v>0</v>
      </c>
      <c r="O10" s="12" t="n">
        <v>2.3</v>
      </c>
      <c r="P10" s="12" t="n">
        <v>0</v>
      </c>
    </row>
    <row r="11" customFormat="false" ht="17.15" hidden="false" customHeight="false" outlineLevel="0" collapsed="false">
      <c r="A11" s="2" t="n">
        <v>10</v>
      </c>
      <c r="B11" s="2" t="s">
        <v>245</v>
      </c>
      <c r="C11" s="2" t="s">
        <v>241</v>
      </c>
      <c r="D11" s="12" t="n">
        <v>32.1</v>
      </c>
      <c r="E11" s="13" t="n">
        <v>0.57</v>
      </c>
      <c r="F11" s="13" t="n">
        <v>0.27</v>
      </c>
      <c r="G11" s="13" t="n">
        <v>0.02</v>
      </c>
      <c r="H11" s="13" t="n">
        <v>0.07</v>
      </c>
      <c r="I11" s="13" t="n">
        <v>1</v>
      </c>
      <c r="J11" s="13" t="n">
        <v>0</v>
      </c>
      <c r="K11" s="12" t="n">
        <v>56.3</v>
      </c>
      <c r="L11" s="12" t="n">
        <v>56.3</v>
      </c>
      <c r="M11" s="12" t="n">
        <f aca="false">K11+L11</f>
        <v>112.6</v>
      </c>
      <c r="N11" s="12" t="n">
        <v>0</v>
      </c>
      <c r="O11" s="12" t="n">
        <v>2.1</v>
      </c>
      <c r="P11" s="12" t="n">
        <v>0</v>
      </c>
    </row>
    <row r="12" customFormat="false" ht="17.15" hidden="false" customHeight="false" outlineLevel="0" collapsed="false">
      <c r="A12" s="2" t="n">
        <v>11</v>
      </c>
      <c r="B12" s="2" t="s">
        <v>246</v>
      </c>
      <c r="C12" s="2" t="s">
        <v>241</v>
      </c>
      <c r="D12" s="12" t="n">
        <v>28.6</v>
      </c>
      <c r="E12" s="13" t="n">
        <v>0.53</v>
      </c>
      <c r="F12" s="13" t="n">
        <v>0.42</v>
      </c>
      <c r="G12" s="13" t="n">
        <v>0.05</v>
      </c>
      <c r="H12" s="13" t="n">
        <v>0.01</v>
      </c>
      <c r="I12" s="13" t="n">
        <v>1</v>
      </c>
      <c r="J12" s="13" t="n">
        <v>0</v>
      </c>
      <c r="K12" s="12" t="n">
        <v>54.9</v>
      </c>
      <c r="L12" s="12" t="n">
        <v>54.9</v>
      </c>
      <c r="M12" s="12" t="n">
        <f aca="false">K12+L12</f>
        <v>109.8</v>
      </c>
      <c r="N12" s="12" t="n">
        <v>0</v>
      </c>
      <c r="O12" s="12" t="n">
        <v>1.3</v>
      </c>
      <c r="P12" s="12" t="n">
        <v>0</v>
      </c>
    </row>
    <row r="13" customFormat="false" ht="17.15" hidden="false" customHeight="false" outlineLevel="0" collapsed="false">
      <c r="A13" s="2" t="n">
        <v>12</v>
      </c>
      <c r="B13" s="2" t="s">
        <v>247</v>
      </c>
      <c r="C13" s="2" t="s">
        <v>241</v>
      </c>
      <c r="D13" s="12" t="n">
        <v>26.3</v>
      </c>
      <c r="E13" s="13" t="n">
        <v>0.52</v>
      </c>
      <c r="F13" s="13" t="n">
        <v>0.22</v>
      </c>
      <c r="G13" s="13" t="n">
        <v>0.19</v>
      </c>
      <c r="H13" s="13" t="n">
        <v>0.03</v>
      </c>
      <c r="I13" s="13" t="n">
        <v>1</v>
      </c>
      <c r="J13" s="13" t="n">
        <v>0</v>
      </c>
      <c r="K13" s="12" t="n">
        <v>52</v>
      </c>
      <c r="L13" s="12" t="n">
        <v>52</v>
      </c>
      <c r="M13" s="12" t="n">
        <f aca="false">K13+L13</f>
        <v>104</v>
      </c>
      <c r="N13" s="12" t="n">
        <v>0</v>
      </c>
      <c r="O13" s="12" t="n">
        <v>0.4</v>
      </c>
      <c r="P13" s="12" t="n">
        <v>0</v>
      </c>
    </row>
    <row r="14" customFormat="false" ht="17.15" hidden="false" customHeight="false" outlineLevel="0" collapsed="false">
      <c r="A14" s="2" t="n">
        <v>13</v>
      </c>
      <c r="B14" s="2" t="s">
        <v>248</v>
      </c>
      <c r="C14" s="2" t="s">
        <v>241</v>
      </c>
      <c r="D14" s="12" t="n">
        <v>17.7</v>
      </c>
      <c r="E14" s="13" t="n">
        <v>0.35</v>
      </c>
      <c r="F14" s="13" t="n">
        <v>0.53</v>
      </c>
      <c r="G14" s="13" t="n">
        <v>0</v>
      </c>
      <c r="H14" s="13" t="n">
        <v>0.07</v>
      </c>
      <c r="I14" s="13" t="n">
        <v>0</v>
      </c>
      <c r="J14" s="13" t="n">
        <v>0</v>
      </c>
      <c r="K14" s="12" t="n">
        <v>0</v>
      </c>
      <c r="L14" s="12" t="n">
        <v>0</v>
      </c>
      <c r="M14" s="12" t="n">
        <f aca="false">K14+L14</f>
        <v>0</v>
      </c>
      <c r="N14" s="12" t="n">
        <v>0</v>
      </c>
      <c r="O14" s="12" t="n">
        <v>0</v>
      </c>
      <c r="P14" s="12" t="n">
        <v>0</v>
      </c>
    </row>
    <row r="15" customFormat="false" ht="17.15" hidden="false" customHeight="false" outlineLevel="0" collapsed="false">
      <c r="A15" s="2" t="n">
        <v>14</v>
      </c>
      <c r="B15" s="2" t="s">
        <v>249</v>
      </c>
      <c r="C15" s="2" t="s">
        <v>235</v>
      </c>
      <c r="D15" s="12" t="n">
        <v>12.6</v>
      </c>
      <c r="E15" s="13" t="n">
        <v>0.31</v>
      </c>
      <c r="F15" s="13" t="n">
        <v>0.21</v>
      </c>
      <c r="G15" s="13" t="n">
        <v>0.33</v>
      </c>
      <c r="H15" s="13" t="n">
        <v>0.12</v>
      </c>
      <c r="I15" s="13" t="n">
        <v>0.32</v>
      </c>
      <c r="J15" s="13" t="n">
        <v>0.66</v>
      </c>
      <c r="K15" s="12" t="n">
        <v>14.6</v>
      </c>
      <c r="L15" s="12" t="n">
        <v>13.1</v>
      </c>
      <c r="M15" s="12" t="n">
        <f aca="false">K15+L15</f>
        <v>27.7</v>
      </c>
      <c r="N15" s="12" t="n">
        <v>1.9</v>
      </c>
      <c r="O15" s="12" t="n">
        <v>0</v>
      </c>
      <c r="P15" s="12" t="n">
        <v>11</v>
      </c>
    </row>
    <row r="16" customFormat="false" ht="17.15" hidden="false" customHeight="false" outlineLevel="0" collapsed="false">
      <c r="A16" s="2" t="n">
        <v>15</v>
      </c>
      <c r="B16" s="2" t="s">
        <v>250</v>
      </c>
      <c r="C16" s="2" t="s">
        <v>241</v>
      </c>
      <c r="D16" s="12" t="n">
        <v>10.9</v>
      </c>
      <c r="E16" s="13" t="n">
        <v>0.3</v>
      </c>
      <c r="F16" s="13" t="n">
        <v>0.22</v>
      </c>
      <c r="G16" s="13" t="n">
        <v>0.23</v>
      </c>
      <c r="H16" s="13" t="n">
        <v>0.12</v>
      </c>
      <c r="I16" s="13" t="n">
        <v>0.26</v>
      </c>
      <c r="J16" s="13" t="n">
        <v>0.73</v>
      </c>
      <c r="K16" s="12" t="n">
        <v>5.7</v>
      </c>
      <c r="L16" s="12" t="n">
        <v>-1</v>
      </c>
      <c r="M16" s="12" t="n">
        <f aca="false">K16+L16</f>
        <v>4.7</v>
      </c>
      <c r="N16" s="12" t="n">
        <v>0</v>
      </c>
      <c r="O16" s="12" t="n">
        <v>0</v>
      </c>
      <c r="P16" s="12" t="n">
        <v>0</v>
      </c>
    </row>
    <row r="17" customFormat="false" ht="17.15" hidden="false" customHeight="false" outlineLevel="0" collapsed="false">
      <c r="A17" s="2" t="n">
        <v>16</v>
      </c>
      <c r="B17" s="2" t="s">
        <v>251</v>
      </c>
      <c r="C17" s="2" t="s">
        <v>241</v>
      </c>
      <c r="D17" s="12" t="n">
        <v>9.9</v>
      </c>
      <c r="E17" s="13" t="n">
        <v>0.25</v>
      </c>
      <c r="F17" s="13" t="n">
        <v>0.38</v>
      </c>
      <c r="G17" s="13" t="n">
        <v>0.2</v>
      </c>
      <c r="H17" s="13" t="n">
        <v>0.08</v>
      </c>
      <c r="I17" s="13" t="n">
        <v>0.18</v>
      </c>
      <c r="J17" s="13" t="n">
        <v>0.32</v>
      </c>
      <c r="K17" s="12" t="n">
        <v>6.5</v>
      </c>
      <c r="L17" s="12" t="n">
        <v>7.3</v>
      </c>
      <c r="M17" s="12" t="n">
        <f aca="false">K17+L17</f>
        <v>13.8</v>
      </c>
      <c r="N17" s="12" t="n">
        <v>0</v>
      </c>
      <c r="O17" s="12" t="n">
        <v>0.2</v>
      </c>
      <c r="P17" s="12" t="n">
        <v>0</v>
      </c>
    </row>
    <row r="18" customFormat="false" ht="17.15" hidden="false" customHeight="false" outlineLevel="0" collapsed="false">
      <c r="A18" s="2" t="n">
        <v>17</v>
      </c>
      <c r="B18" s="2" t="s">
        <v>252</v>
      </c>
      <c r="C18" s="2" t="s">
        <v>241</v>
      </c>
      <c r="D18" s="12" t="n">
        <v>7.9</v>
      </c>
      <c r="E18" s="13" t="n">
        <v>0.16</v>
      </c>
      <c r="F18" s="13" t="n">
        <v>0.71</v>
      </c>
      <c r="G18" s="13" t="n">
        <v>0.03</v>
      </c>
      <c r="H18" s="13" t="n">
        <v>0.05</v>
      </c>
      <c r="I18" s="13" t="n">
        <v>0</v>
      </c>
      <c r="J18" s="13" t="n">
        <v>0</v>
      </c>
      <c r="K18" s="12" t="n">
        <v>0</v>
      </c>
      <c r="L18" s="12" t="n">
        <v>0</v>
      </c>
      <c r="M18" s="12" t="n">
        <f aca="false">K18+L18</f>
        <v>0</v>
      </c>
      <c r="N18" s="12" t="n">
        <v>0</v>
      </c>
      <c r="O18" s="12" t="n">
        <v>0</v>
      </c>
      <c r="P18" s="12" t="n">
        <v>0</v>
      </c>
    </row>
    <row r="19" customFormat="false" ht="17.15" hidden="false" customHeight="false" outlineLevel="0" collapsed="false">
      <c r="A19" s="2" t="n">
        <v>18</v>
      </c>
      <c r="B19" s="2" t="s">
        <v>253</v>
      </c>
      <c r="C19" s="2" t="s">
        <v>241</v>
      </c>
      <c r="D19" s="12" t="n">
        <v>6.8</v>
      </c>
      <c r="E19" s="13" t="n">
        <v>0</v>
      </c>
      <c r="F19" s="13" t="n">
        <v>0.2</v>
      </c>
      <c r="G19" s="13" t="n">
        <v>0.22</v>
      </c>
      <c r="H19" s="13" t="n">
        <v>0.12</v>
      </c>
      <c r="I19" s="13" t="n">
        <v>0</v>
      </c>
      <c r="J19" s="13" t="n">
        <v>0</v>
      </c>
      <c r="K19" s="12" t="n">
        <v>27.6</v>
      </c>
      <c r="L19" s="12" t="n">
        <v>27.6</v>
      </c>
      <c r="M19" s="12" t="n">
        <f aca="false">K19+L19</f>
        <v>55.2</v>
      </c>
      <c r="N19" s="12" t="n">
        <v>0</v>
      </c>
      <c r="O19" s="12" t="n">
        <v>0</v>
      </c>
      <c r="P19" s="12" t="n">
        <v>0</v>
      </c>
    </row>
    <row r="20" customFormat="false" ht="17.15" hidden="false" customHeight="false" outlineLevel="0" collapsed="false">
      <c r="A20" s="2" t="n">
        <v>19</v>
      </c>
      <c r="B20" s="2" t="s">
        <v>254</v>
      </c>
      <c r="C20" s="2" t="s">
        <v>241</v>
      </c>
      <c r="D20" s="12" t="n">
        <v>0.2</v>
      </c>
      <c r="E20" s="13" t="n">
        <v>0</v>
      </c>
      <c r="F20" s="13" t="n">
        <v>0.97</v>
      </c>
      <c r="G20" s="13" t="n">
        <v>0.01</v>
      </c>
      <c r="H20" s="13" t="n">
        <v>0</v>
      </c>
      <c r="I20" s="13" t="n">
        <v>0</v>
      </c>
      <c r="J20" s="13" t="n">
        <v>0</v>
      </c>
      <c r="K20" s="12" t="n">
        <v>0</v>
      </c>
      <c r="L20" s="12" t="n">
        <v>0</v>
      </c>
      <c r="M20" s="12" t="n">
        <f aca="false">K20+L20</f>
        <v>0</v>
      </c>
      <c r="N20" s="12" t="n">
        <v>0</v>
      </c>
      <c r="O20" s="12" t="n">
        <v>0</v>
      </c>
      <c r="P20" s="12" t="n">
        <v>0</v>
      </c>
    </row>
    <row r="21" customFormat="false" ht="17.15" hidden="false" customHeight="false" outlineLevel="0" collapsed="false">
      <c r="A21" s="2" t="n">
        <v>20</v>
      </c>
      <c r="B21" s="2" t="s">
        <v>255</v>
      </c>
      <c r="C21" s="2" t="s">
        <v>241</v>
      </c>
      <c r="D21" s="12" t="n">
        <v>0</v>
      </c>
      <c r="E21" s="13" t="n">
        <v>0</v>
      </c>
      <c r="F21" s="13" t="n">
        <v>1</v>
      </c>
      <c r="G21" s="13" t="n">
        <v>0</v>
      </c>
      <c r="H21" s="13" t="n">
        <v>0</v>
      </c>
      <c r="I21" s="13" t="n">
        <v>0</v>
      </c>
      <c r="J21" s="13" t="n">
        <v>0</v>
      </c>
      <c r="K21" s="12" t="n">
        <v>0</v>
      </c>
      <c r="L21" s="12" t="n">
        <v>0</v>
      </c>
      <c r="M21" s="12" t="n">
        <f aca="false">K21+L21</f>
        <v>0</v>
      </c>
      <c r="N21" s="12" t="n">
        <v>0</v>
      </c>
      <c r="O21" s="12" t="n">
        <v>0</v>
      </c>
      <c r="P21" s="12" t="n">
        <v>0</v>
      </c>
    </row>
    <row r="22" customFormat="false" ht="17.15" hidden="false" customHeight="false" outlineLevel="0" collapsed="false">
      <c r="A22" s="2" t="n">
        <v>21</v>
      </c>
      <c r="B22" s="2" t="s">
        <v>256</v>
      </c>
      <c r="C22" s="2" t="s">
        <v>235</v>
      </c>
      <c r="D22" s="12" t="n">
        <v>0</v>
      </c>
      <c r="E22" s="13" t="n">
        <v>0</v>
      </c>
      <c r="F22" s="13" t="n">
        <v>1</v>
      </c>
      <c r="G22" s="13" t="n">
        <v>0</v>
      </c>
      <c r="H22" s="13" t="n">
        <v>0</v>
      </c>
      <c r="I22" s="13" t="n">
        <v>0</v>
      </c>
      <c r="J22" s="13" t="n">
        <v>0</v>
      </c>
      <c r="K22" s="12" t="n">
        <v>0</v>
      </c>
      <c r="L22" s="12" t="n">
        <v>0</v>
      </c>
      <c r="M22" s="12" t="n">
        <f aca="false">K22+L22</f>
        <v>0</v>
      </c>
      <c r="N22" s="12" t="n">
        <v>0</v>
      </c>
      <c r="O22" s="12" t="n">
        <v>0</v>
      </c>
      <c r="P22" s="12" t="n">
        <v>7.8</v>
      </c>
    </row>
    <row r="24" customFormat="false" ht="17.15" hidden="false" customHeight="false" outlineLevel="0" collapsed="false">
      <c r="A24" s="6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2026-10-17T06:25:25Z</dcterms:created>
  <dc:creator>openpyxl</dc:creator>
  <dc:description/>
  <dc:language>en-US</dc:language>
  <cp:lastModifiedBy/>
  <dcterms:modified xsi:type="dcterms:W3CDTF">2026-10-17T06:25:25Z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